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198d45a8b54098d/Desktop/"/>
    </mc:Choice>
  </mc:AlternateContent>
  <xr:revisionPtr revIDLastSave="1193" documentId="13_ncr:1_{063087BF-0EE4-4F1E-AF4E-41D57BDC1F6A}" xr6:coauthVersionLast="47" xr6:coauthVersionMax="47" xr10:uidLastSave="{35F52F61-74FE-4056-BA1E-FC7D964A6F6A}"/>
  <bookViews>
    <workbookView xWindow="-110" yWindow="-110" windowWidth="19420" windowHeight="10300" tabRatio="500" activeTab="1" xr2:uid="{00000000-000D-0000-FFFF-FFFF00000000}"/>
  </bookViews>
  <sheets>
    <sheet name="MASTER" sheetId="2" r:id="rId1"/>
    <sheet name="BBM" sheetId="7" r:id="rId2"/>
    <sheet name="LAPORAN HM + BBM" sheetId="8" r:id="rId3"/>
    <sheet name="REKAP" sheetId="6" r:id="rId4"/>
  </sheets>
  <definedNames>
    <definedName name="_xlnm._FilterDatabase" localSheetId="1" hidden="1">BBM!$A$2:$M$683</definedName>
    <definedName name="_xlnm.Print_Area" localSheetId="3">REKAP!#REF!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69" i="7" l="1"/>
  <c r="I570" i="7" s="1"/>
  <c r="I571" i="7" s="1"/>
  <c r="I572" i="7" s="1"/>
  <c r="I573" i="7" s="1"/>
  <c r="I574" i="7" s="1"/>
  <c r="I575" i="7" s="1"/>
  <c r="I576" i="7" s="1"/>
  <c r="I577" i="7" s="1"/>
  <c r="I578" i="7" s="1"/>
  <c r="I579" i="7" s="1"/>
  <c r="I580" i="7" s="1"/>
  <c r="I581" i="7" s="1"/>
  <c r="I582" i="7" s="1"/>
  <c r="I583" i="7" s="1"/>
  <c r="I584" i="7" s="1"/>
  <c r="I585" i="7" s="1"/>
  <c r="I586" i="7" s="1"/>
  <c r="I587" i="7" s="1"/>
  <c r="I588" i="7" s="1"/>
  <c r="I589" i="7" s="1"/>
  <c r="I590" i="7" s="1"/>
  <c r="I591" i="7" s="1"/>
  <c r="I592" i="7" s="1"/>
  <c r="I593" i="7" s="1"/>
  <c r="I594" i="7" s="1"/>
  <c r="I595" i="7" s="1"/>
  <c r="I596" i="7" s="1"/>
  <c r="I597" i="7" s="1"/>
  <c r="I598" i="7" s="1"/>
  <c r="I599" i="7" s="1"/>
  <c r="I600" i="7" s="1"/>
  <c r="I601" i="7" s="1"/>
  <c r="I602" i="7" s="1"/>
  <c r="I603" i="7" s="1"/>
  <c r="I604" i="7" s="1"/>
  <c r="I605" i="7" s="1"/>
  <c r="I606" i="7" s="1"/>
  <c r="I607" i="7" s="1"/>
  <c r="I608" i="7" s="1"/>
  <c r="I609" i="7" s="1"/>
  <c r="I610" i="7" s="1"/>
  <c r="I611" i="7" s="1"/>
  <c r="I612" i="7" s="1"/>
  <c r="I613" i="7" s="1"/>
  <c r="I614" i="7" s="1"/>
  <c r="I615" i="7" s="1"/>
  <c r="I616" i="7" s="1"/>
  <c r="I617" i="7" s="1"/>
  <c r="I618" i="7" s="1"/>
  <c r="I619" i="7" s="1"/>
  <c r="I620" i="7" s="1"/>
  <c r="I621" i="7" s="1"/>
  <c r="I622" i="7" s="1"/>
  <c r="I623" i="7" s="1"/>
  <c r="I624" i="7" s="1"/>
  <c r="I625" i="7" s="1"/>
  <c r="I626" i="7" s="1"/>
  <c r="I627" i="7" s="1"/>
  <c r="I628" i="7" s="1"/>
  <c r="I629" i="7" s="1"/>
  <c r="I630" i="7" s="1"/>
  <c r="I631" i="7" s="1"/>
  <c r="I632" i="7" s="1"/>
  <c r="I633" i="7" s="1"/>
  <c r="I634" i="7" s="1"/>
  <c r="I635" i="7" s="1"/>
  <c r="I636" i="7" s="1"/>
  <c r="I637" i="7" s="1"/>
  <c r="I638" i="7" s="1"/>
  <c r="I639" i="7" s="1"/>
  <c r="I640" i="7" s="1"/>
  <c r="I641" i="7" s="1"/>
  <c r="I642" i="7" s="1"/>
  <c r="I643" i="7" s="1"/>
  <c r="I644" i="7" s="1"/>
  <c r="I645" i="7" s="1"/>
  <c r="I646" i="7" s="1"/>
  <c r="I647" i="7" s="1"/>
  <c r="I648" i="7" s="1"/>
  <c r="I649" i="7" s="1"/>
  <c r="I650" i="7" s="1"/>
  <c r="I651" i="7" s="1"/>
  <c r="I652" i="7" s="1"/>
  <c r="I653" i="7" s="1"/>
  <c r="I654" i="7" s="1"/>
  <c r="I655" i="7" s="1"/>
  <c r="I656" i="7" s="1"/>
  <c r="I657" i="7" s="1"/>
  <c r="I658" i="7" s="1"/>
  <c r="I659" i="7" s="1"/>
  <c r="I660" i="7" s="1"/>
  <c r="I661" i="7" s="1"/>
  <c r="I662" i="7" s="1"/>
  <c r="I663" i="7" s="1"/>
  <c r="I664" i="7" s="1"/>
  <c r="I665" i="7" s="1"/>
  <c r="I666" i="7" s="1"/>
  <c r="I667" i="7" s="1"/>
  <c r="I668" i="7" s="1"/>
  <c r="I669" i="7" s="1"/>
  <c r="I670" i="7" s="1"/>
  <c r="I671" i="7" s="1"/>
  <c r="I672" i="7" s="1"/>
  <c r="I673" i="7" s="1"/>
  <c r="I674" i="7" s="1"/>
  <c r="I675" i="7" s="1"/>
  <c r="I676" i="7" s="1"/>
  <c r="I677" i="7" s="1"/>
  <c r="I678" i="7" s="1"/>
  <c r="I679" i="7" s="1"/>
  <c r="I680" i="7" s="1"/>
  <c r="I681" i="7" s="1"/>
  <c r="I682" i="7" s="1"/>
  <c r="I683" i="7"/>
  <c r="I39" i="8" l="1"/>
  <c r="I38" i="8"/>
  <c r="I37" i="8"/>
  <c r="I36" i="8"/>
  <c r="I35" i="8"/>
  <c r="I34" i="8"/>
  <c r="K670" i="7"/>
  <c r="K671" i="7"/>
  <c r="K672" i="7"/>
  <c r="A669" i="7"/>
  <c r="K669" i="7"/>
  <c r="L669" i="7"/>
  <c r="F48" i="8"/>
  <c r="I33" i="8"/>
  <c r="I32" i="8"/>
  <c r="I30" i="8"/>
  <c r="I31" i="8"/>
  <c r="I29" i="8"/>
  <c r="I28" i="8"/>
  <c r="I27" i="8"/>
  <c r="I26" i="8"/>
  <c r="A664" i="7"/>
  <c r="A665" i="7"/>
  <c r="A666" i="7"/>
  <c r="A667" i="7"/>
  <c r="A668" i="7"/>
  <c r="A670" i="7"/>
  <c r="A671" i="7"/>
  <c r="K664" i="7"/>
  <c r="K665" i="7"/>
  <c r="K666" i="7"/>
  <c r="K667" i="7"/>
  <c r="K668" i="7"/>
  <c r="L664" i="7"/>
  <c r="L665" i="7"/>
  <c r="L666" i="7"/>
  <c r="L667" i="7"/>
  <c r="L668" i="7"/>
  <c r="L670" i="7"/>
  <c r="L671" i="7"/>
  <c r="A672" i="7"/>
  <c r="A673" i="7"/>
  <c r="A674" i="7"/>
  <c r="A675" i="7"/>
  <c r="A676" i="7"/>
  <c r="A677" i="7"/>
  <c r="A678" i="7"/>
  <c r="K673" i="7"/>
  <c r="K674" i="7"/>
  <c r="K675" i="7"/>
  <c r="K676" i="7"/>
  <c r="K677" i="7"/>
  <c r="K678" i="7"/>
  <c r="L672" i="7"/>
  <c r="L673" i="7"/>
  <c r="L674" i="7"/>
  <c r="L675" i="7"/>
  <c r="L676" i="7"/>
  <c r="L677" i="7"/>
  <c r="L678" i="7"/>
  <c r="A679" i="7"/>
  <c r="A680" i="7"/>
  <c r="A681" i="7"/>
  <c r="A682" i="7"/>
  <c r="A683" i="7"/>
  <c r="K679" i="7"/>
  <c r="K680" i="7"/>
  <c r="K681" i="7"/>
  <c r="K682" i="7"/>
  <c r="K683" i="7"/>
  <c r="L679" i="7"/>
  <c r="L680" i="7"/>
  <c r="L681" i="7"/>
  <c r="L682" i="7"/>
  <c r="L683" i="7"/>
  <c r="I13" i="8"/>
  <c r="I25" i="8"/>
  <c r="I24" i="8"/>
  <c r="I23" i="8"/>
  <c r="I22" i="8"/>
  <c r="I21" i="8"/>
  <c r="I20" i="8"/>
  <c r="I19" i="8"/>
  <c r="I18" i="8"/>
  <c r="I17" i="8"/>
  <c r="I16" i="8"/>
  <c r="K636" i="7"/>
  <c r="I15" i="8"/>
  <c r="I14" i="8"/>
  <c r="I12" i="8"/>
  <c r="I11" i="8"/>
  <c r="I10" i="8"/>
  <c r="I9" i="8"/>
  <c r="K619" i="7"/>
  <c r="A635" i="7"/>
  <c r="A636" i="7"/>
  <c r="A637" i="7"/>
  <c r="A638" i="7"/>
  <c r="A639" i="7"/>
  <c r="A640" i="7"/>
  <c r="A641" i="7"/>
  <c r="A642" i="7"/>
  <c r="A643" i="7"/>
  <c r="K635" i="7"/>
  <c r="K637" i="7"/>
  <c r="K638" i="7"/>
  <c r="K639" i="7"/>
  <c r="K640" i="7"/>
  <c r="K641" i="7"/>
  <c r="K642" i="7"/>
  <c r="K643" i="7"/>
  <c r="L635" i="7"/>
  <c r="L636" i="7"/>
  <c r="L637" i="7"/>
  <c r="L639" i="7"/>
  <c r="L640" i="7"/>
  <c r="L641" i="7"/>
  <c r="L642" i="7"/>
  <c r="L643" i="7"/>
  <c r="A644" i="7"/>
  <c r="A645" i="7"/>
  <c r="A646" i="7"/>
  <c r="A647" i="7"/>
  <c r="A648" i="7"/>
  <c r="A649" i="7"/>
  <c r="A650" i="7"/>
  <c r="A651" i="7"/>
  <c r="A652" i="7"/>
  <c r="K644" i="7"/>
  <c r="K645" i="7"/>
  <c r="K646" i="7"/>
  <c r="K647" i="7"/>
  <c r="K648" i="7"/>
  <c r="K649" i="7"/>
  <c r="K650" i="7"/>
  <c r="K651" i="7"/>
  <c r="K652" i="7"/>
  <c r="L644" i="7"/>
  <c r="L645" i="7"/>
  <c r="L646" i="7"/>
  <c r="L647" i="7"/>
  <c r="L648" i="7"/>
  <c r="L649" i="7"/>
  <c r="L650" i="7"/>
  <c r="L651" i="7"/>
  <c r="L652" i="7"/>
  <c r="A653" i="7"/>
  <c r="A654" i="7"/>
  <c r="A655" i="7"/>
  <c r="A656" i="7"/>
  <c r="A657" i="7"/>
  <c r="A658" i="7"/>
  <c r="A659" i="7"/>
  <c r="A660" i="7"/>
  <c r="A661" i="7"/>
  <c r="K653" i="7"/>
  <c r="K654" i="7"/>
  <c r="K655" i="7"/>
  <c r="K656" i="7"/>
  <c r="K657" i="7"/>
  <c r="K658" i="7"/>
  <c r="K659" i="7"/>
  <c r="K660" i="7"/>
  <c r="K661" i="7"/>
  <c r="L653" i="7"/>
  <c r="L654" i="7"/>
  <c r="L655" i="7"/>
  <c r="L656" i="7"/>
  <c r="L657" i="7"/>
  <c r="L658" i="7"/>
  <c r="L659" i="7"/>
  <c r="L660" i="7"/>
  <c r="L661" i="7"/>
  <c r="I2" i="8"/>
  <c r="I3" i="8"/>
  <c r="I4" i="8"/>
  <c r="I5" i="8"/>
  <c r="I6" i="8"/>
  <c r="I7" i="8"/>
  <c r="I8" i="8"/>
  <c r="K600" i="7"/>
  <c r="A599" i="7"/>
  <c r="A613" i="7"/>
  <c r="A614" i="7"/>
  <c r="A615" i="7"/>
  <c r="A616" i="7"/>
  <c r="A617" i="7"/>
  <c r="A618" i="7"/>
  <c r="A619" i="7"/>
  <c r="A620" i="7"/>
  <c r="A621" i="7"/>
  <c r="A622" i="7"/>
  <c r="A623" i="7"/>
  <c r="K613" i="7"/>
  <c r="K614" i="7"/>
  <c r="K615" i="7"/>
  <c r="K616" i="7"/>
  <c r="K617" i="7"/>
  <c r="K618" i="7"/>
  <c r="K620" i="7"/>
  <c r="K621" i="7"/>
  <c r="K622" i="7"/>
  <c r="K623" i="7"/>
  <c r="L613" i="7"/>
  <c r="L614" i="7"/>
  <c r="L615" i="7"/>
  <c r="L616" i="7"/>
  <c r="L617" i="7"/>
  <c r="L618" i="7"/>
  <c r="L619" i="7"/>
  <c r="L620" i="7"/>
  <c r="L621" i="7"/>
  <c r="L622" i="7"/>
  <c r="L623" i="7"/>
  <c r="A593" i="7"/>
  <c r="A594" i="7"/>
  <c r="A595" i="7"/>
  <c r="A596" i="7"/>
  <c r="A597" i="7"/>
  <c r="A598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K593" i="7"/>
  <c r="K594" i="7"/>
  <c r="K595" i="7"/>
  <c r="K596" i="7"/>
  <c r="K597" i="7"/>
  <c r="K598" i="7"/>
  <c r="K599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592" i="7"/>
  <c r="K592" i="7"/>
  <c r="A592" i="7"/>
  <c r="A624" i="7"/>
  <c r="A625" i="7"/>
  <c r="A626" i="7"/>
  <c r="K624" i="7"/>
  <c r="K625" i="7"/>
  <c r="K626" i="7"/>
  <c r="L624" i="7"/>
  <c r="L625" i="7"/>
  <c r="L626" i="7"/>
  <c r="A627" i="7"/>
  <c r="A628" i="7"/>
  <c r="A629" i="7"/>
  <c r="A630" i="7"/>
  <c r="K627" i="7"/>
  <c r="K628" i="7"/>
  <c r="K629" i="7"/>
  <c r="K630" i="7"/>
  <c r="L627" i="7"/>
  <c r="L628" i="7"/>
  <c r="L629" i="7"/>
  <c r="L630" i="7"/>
  <c r="A631" i="7"/>
  <c r="A632" i="7"/>
  <c r="A633" i="7"/>
  <c r="A634" i="7"/>
  <c r="K631" i="7"/>
  <c r="K632" i="7"/>
  <c r="K633" i="7"/>
  <c r="K634" i="7"/>
  <c r="L631" i="7"/>
  <c r="L632" i="7"/>
  <c r="L633" i="7"/>
  <c r="L634" i="7"/>
  <c r="A662" i="7"/>
  <c r="A663" i="7"/>
  <c r="K662" i="7"/>
  <c r="K663" i="7"/>
  <c r="L662" i="7"/>
  <c r="L663" i="7"/>
  <c r="K588" i="7"/>
  <c r="A591" i="7"/>
  <c r="K591" i="7"/>
  <c r="L591" i="7"/>
  <c r="A583" i="7"/>
  <c r="A587" i="7"/>
  <c r="A588" i="7"/>
  <c r="A3" i="7"/>
  <c r="I3" i="7"/>
  <c r="I4" i="7" s="1"/>
  <c r="I5" i="7" s="1"/>
  <c r="I6" i="7" s="1"/>
  <c r="I7" i="7" s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  <c r="I60" i="7" s="1"/>
  <c r="I61" i="7" s="1"/>
  <c r="I62" i="7" s="1"/>
  <c r="I63" i="7" s="1"/>
  <c r="I64" i="7" s="1"/>
  <c r="I65" i="7" s="1"/>
  <c r="I66" i="7" s="1"/>
  <c r="I67" i="7" s="1"/>
  <c r="I68" i="7" s="1"/>
  <c r="I69" i="7" s="1"/>
  <c r="I70" i="7" s="1"/>
  <c r="I71" i="7" s="1"/>
  <c r="I72" i="7" s="1"/>
  <c r="I73" i="7" s="1"/>
  <c r="I74" i="7" s="1"/>
  <c r="I75" i="7" s="1"/>
  <c r="I76" i="7" s="1"/>
  <c r="I77" i="7" s="1"/>
  <c r="I78" i="7" s="1"/>
  <c r="I79" i="7" s="1"/>
  <c r="I80" i="7" s="1"/>
  <c r="I81" i="7" s="1"/>
  <c r="I82" i="7" s="1"/>
  <c r="I83" i="7" s="1"/>
  <c r="I84" i="7" s="1"/>
  <c r="I85" i="7" s="1"/>
  <c r="I86" i="7" s="1"/>
  <c r="I87" i="7" s="1"/>
  <c r="I88" i="7" s="1"/>
  <c r="I89" i="7" s="1"/>
  <c r="I90" i="7" s="1"/>
  <c r="I91" i="7" s="1"/>
  <c r="I92" i="7" s="1"/>
  <c r="I93" i="7" s="1"/>
  <c r="I94" i="7" s="1"/>
  <c r="I95" i="7" s="1"/>
  <c r="I96" i="7" s="1"/>
  <c r="I97" i="7" s="1"/>
  <c r="I98" i="7" s="1"/>
  <c r="I99" i="7" s="1"/>
  <c r="I100" i="7" s="1"/>
  <c r="I101" i="7" s="1"/>
  <c r="I102" i="7" s="1"/>
  <c r="I103" i="7" s="1"/>
  <c r="I104" i="7" s="1"/>
  <c r="I105" i="7" s="1"/>
  <c r="I106" i="7" s="1"/>
  <c r="I107" i="7" s="1"/>
  <c r="I108" i="7" s="1"/>
  <c r="I109" i="7" s="1"/>
  <c r="I110" i="7" s="1"/>
  <c r="I111" i="7" s="1"/>
  <c r="I112" i="7" s="1"/>
  <c r="I113" i="7" s="1"/>
  <c r="I114" i="7" s="1"/>
  <c r="I115" i="7" s="1"/>
  <c r="I116" i="7" s="1"/>
  <c r="I117" i="7" s="1"/>
  <c r="I118" i="7" s="1"/>
  <c r="I119" i="7" s="1"/>
  <c r="I120" i="7" s="1"/>
  <c r="I121" i="7" s="1"/>
  <c r="I122" i="7" s="1"/>
  <c r="I123" i="7" s="1"/>
  <c r="I124" i="7" s="1"/>
  <c r="I125" i="7" s="1"/>
  <c r="I126" i="7" s="1"/>
  <c r="I127" i="7" s="1"/>
  <c r="I128" i="7" s="1"/>
  <c r="I129" i="7" s="1"/>
  <c r="I130" i="7" s="1"/>
  <c r="I131" i="7" s="1"/>
  <c r="I132" i="7" s="1"/>
  <c r="I133" i="7" s="1"/>
  <c r="I134" i="7" s="1"/>
  <c r="I135" i="7" s="1"/>
  <c r="I136" i="7" s="1"/>
  <c r="I137" i="7" s="1"/>
  <c r="I138" i="7" s="1"/>
  <c r="I139" i="7" s="1"/>
  <c r="I140" i="7" s="1"/>
  <c r="I141" i="7" s="1"/>
  <c r="I142" i="7" s="1"/>
  <c r="I143" i="7" s="1"/>
  <c r="I144" i="7" s="1"/>
  <c r="I145" i="7" s="1"/>
  <c r="I146" i="7" s="1"/>
  <c r="I147" i="7" s="1"/>
  <c r="I148" i="7" s="1"/>
  <c r="I149" i="7" s="1"/>
  <c r="I150" i="7" s="1"/>
  <c r="I151" i="7" s="1"/>
  <c r="I152" i="7" s="1"/>
  <c r="I153" i="7" s="1"/>
  <c r="I154" i="7" s="1"/>
  <c r="I155" i="7" s="1"/>
  <c r="I156" i="7" s="1"/>
  <c r="I157" i="7" s="1"/>
  <c r="I158" i="7" s="1"/>
  <c r="I159" i="7" s="1"/>
  <c r="I160" i="7" s="1"/>
  <c r="I161" i="7" s="1"/>
  <c r="I162" i="7" s="1"/>
  <c r="I163" i="7" s="1"/>
  <c r="I164" i="7" s="1"/>
  <c r="I165" i="7" s="1"/>
  <c r="I166" i="7" s="1"/>
  <c r="I167" i="7" s="1"/>
  <c r="I168" i="7" s="1"/>
  <c r="I169" i="7" s="1"/>
  <c r="I170" i="7" s="1"/>
  <c r="I171" i="7" s="1"/>
  <c r="I172" i="7" s="1"/>
  <c r="I173" i="7" s="1"/>
  <c r="I174" i="7" s="1"/>
  <c r="I175" i="7" s="1"/>
  <c r="I176" i="7" s="1"/>
  <c r="I177" i="7" s="1"/>
  <c r="I178" i="7" s="1"/>
  <c r="I179" i="7" s="1"/>
  <c r="I180" i="7" s="1"/>
  <c r="I181" i="7" s="1"/>
  <c r="I182" i="7" s="1"/>
  <c r="I183" i="7" s="1"/>
  <c r="I184" i="7" s="1"/>
  <c r="I185" i="7" s="1"/>
  <c r="I186" i="7" s="1"/>
  <c r="I187" i="7" s="1"/>
  <c r="I188" i="7" s="1"/>
  <c r="I189" i="7" s="1"/>
  <c r="I190" i="7" s="1"/>
  <c r="I191" i="7" s="1"/>
  <c r="I192" i="7" s="1"/>
  <c r="I193" i="7" s="1"/>
  <c r="I194" i="7" s="1"/>
  <c r="I195" i="7" s="1"/>
  <c r="I196" i="7" s="1"/>
  <c r="I197" i="7" s="1"/>
  <c r="I198" i="7" s="1"/>
  <c r="I199" i="7" s="1"/>
  <c r="I200" i="7" s="1"/>
  <c r="I201" i="7" s="1"/>
  <c r="I202" i="7" s="1"/>
  <c r="I203" i="7" s="1"/>
  <c r="I204" i="7" s="1"/>
  <c r="I205" i="7" s="1"/>
  <c r="I206" i="7" s="1"/>
  <c r="I207" i="7" s="1"/>
  <c r="I208" i="7" s="1"/>
  <c r="I209" i="7" s="1"/>
  <c r="I210" i="7" s="1"/>
  <c r="I211" i="7" s="1"/>
  <c r="I212" i="7" s="1"/>
  <c r="I213" i="7" s="1"/>
  <c r="I214" i="7" s="1"/>
  <c r="I215" i="7" s="1"/>
  <c r="I216" i="7" s="1"/>
  <c r="I217" i="7" s="1"/>
  <c r="I218" i="7" s="1"/>
  <c r="I219" i="7" s="1"/>
  <c r="I220" i="7" s="1"/>
  <c r="I221" i="7" s="1"/>
  <c r="I222" i="7" s="1"/>
  <c r="I223" i="7" s="1"/>
  <c r="I224" i="7" s="1"/>
  <c r="I225" i="7" s="1"/>
  <c r="I226" i="7" s="1"/>
  <c r="I227" i="7" s="1"/>
  <c r="I228" i="7" s="1"/>
  <c r="I229" i="7" s="1"/>
  <c r="I230" i="7" s="1"/>
  <c r="I231" i="7" s="1"/>
  <c r="I232" i="7" s="1"/>
  <c r="I233" i="7" s="1"/>
  <c r="I234" i="7" s="1"/>
  <c r="I235" i="7" s="1"/>
  <c r="I236" i="7" s="1"/>
  <c r="I237" i="7" s="1"/>
  <c r="I238" i="7" s="1"/>
  <c r="I239" i="7" s="1"/>
  <c r="I240" i="7" s="1"/>
  <c r="I241" i="7" s="1"/>
  <c r="I242" i="7" s="1"/>
  <c r="I243" i="7" s="1"/>
  <c r="I244" i="7" s="1"/>
  <c r="I245" i="7" s="1"/>
  <c r="I246" i="7" s="1"/>
  <c r="I247" i="7" s="1"/>
  <c r="I248" i="7" s="1"/>
  <c r="I249" i="7" s="1"/>
  <c r="I250" i="7" s="1"/>
  <c r="I251" i="7" s="1"/>
  <c r="I252" i="7" s="1"/>
  <c r="I253" i="7" s="1"/>
  <c r="I254" i="7" s="1"/>
  <c r="I255" i="7" s="1"/>
  <c r="I256" i="7" s="1"/>
  <c r="I257" i="7" s="1"/>
  <c r="I258" i="7" s="1"/>
  <c r="I259" i="7" s="1"/>
  <c r="I260" i="7" s="1"/>
  <c r="I261" i="7" s="1"/>
  <c r="I262" i="7" s="1"/>
  <c r="I263" i="7" s="1"/>
  <c r="I264" i="7" s="1"/>
  <c r="I265" i="7" s="1"/>
  <c r="I266" i="7" s="1"/>
  <c r="I267" i="7" s="1"/>
  <c r="I268" i="7" s="1"/>
  <c r="I269" i="7" s="1"/>
  <c r="I270" i="7" s="1"/>
  <c r="I271" i="7" s="1"/>
  <c r="I272" i="7" s="1"/>
  <c r="I273" i="7" s="1"/>
  <c r="I274" i="7" s="1"/>
  <c r="I275" i="7" s="1"/>
  <c r="I276" i="7" s="1"/>
  <c r="I277" i="7" s="1"/>
  <c r="I278" i="7" s="1"/>
  <c r="I279" i="7" s="1"/>
  <c r="I280" i="7" s="1"/>
  <c r="I281" i="7" s="1"/>
  <c r="I282" i="7" s="1"/>
  <c r="I283" i="7" s="1"/>
  <c r="I284" i="7" s="1"/>
  <c r="I285" i="7" s="1"/>
  <c r="I286" i="7" s="1"/>
  <c r="I287" i="7" s="1"/>
  <c r="I288" i="7" s="1"/>
  <c r="I289" i="7" s="1"/>
  <c r="I290" i="7" s="1"/>
  <c r="I291" i="7" s="1"/>
  <c r="I292" i="7" s="1"/>
  <c r="I293" i="7" s="1"/>
  <c r="I294" i="7" s="1"/>
  <c r="I295" i="7" s="1"/>
  <c r="I296" i="7" s="1"/>
  <c r="I297" i="7" s="1"/>
  <c r="I298" i="7" s="1"/>
  <c r="I299" i="7" s="1"/>
  <c r="I300" i="7" s="1"/>
  <c r="I301" i="7" s="1"/>
  <c r="I302" i="7" s="1"/>
  <c r="I303" i="7" s="1"/>
  <c r="I304" i="7" s="1"/>
  <c r="I305" i="7" s="1"/>
  <c r="I306" i="7" s="1"/>
  <c r="I307" i="7" s="1"/>
  <c r="I308" i="7" s="1"/>
  <c r="I309" i="7" s="1"/>
  <c r="I310" i="7" s="1"/>
  <c r="I311" i="7" s="1"/>
  <c r="I312" i="7" s="1"/>
  <c r="I313" i="7" s="1"/>
  <c r="I314" i="7" s="1"/>
  <c r="I315" i="7" s="1"/>
  <c r="I316" i="7" s="1"/>
  <c r="I317" i="7" s="1"/>
  <c r="I318" i="7" s="1"/>
  <c r="I319" i="7" s="1"/>
  <c r="I320" i="7" s="1"/>
  <c r="I321" i="7" s="1"/>
  <c r="I322" i="7" s="1"/>
  <c r="I323" i="7" s="1"/>
  <c r="I324" i="7" s="1"/>
  <c r="I325" i="7" s="1"/>
  <c r="I326" i="7" s="1"/>
  <c r="I327" i="7" s="1"/>
  <c r="I328" i="7" s="1"/>
  <c r="I329" i="7" s="1"/>
  <c r="I330" i="7" s="1"/>
  <c r="I331" i="7" s="1"/>
  <c r="I332" i="7" s="1"/>
  <c r="I333" i="7" s="1"/>
  <c r="I334" i="7" s="1"/>
  <c r="I335" i="7" s="1"/>
  <c r="I336" i="7" s="1"/>
  <c r="I337" i="7" s="1"/>
  <c r="I338" i="7" s="1"/>
  <c r="I339" i="7" s="1"/>
  <c r="I340" i="7" s="1"/>
  <c r="I341" i="7" s="1"/>
  <c r="I342" i="7" s="1"/>
  <c r="I343" i="7" s="1"/>
  <c r="I344" i="7" s="1"/>
  <c r="I345" i="7" s="1"/>
  <c r="I346" i="7" s="1"/>
  <c r="I347" i="7" s="1"/>
  <c r="I348" i="7" s="1"/>
  <c r="I349" i="7" s="1"/>
  <c r="I350" i="7" s="1"/>
  <c r="I351" i="7" s="1"/>
  <c r="I352" i="7" s="1"/>
  <c r="I353" i="7" s="1"/>
  <c r="I354" i="7" s="1"/>
  <c r="I355" i="7" s="1"/>
  <c r="I356" i="7" s="1"/>
  <c r="I357" i="7" s="1"/>
  <c r="I358" i="7" s="1"/>
  <c r="I359" i="7" s="1"/>
  <c r="I360" i="7" s="1"/>
  <c r="I361" i="7" s="1"/>
  <c r="I362" i="7" s="1"/>
  <c r="I363" i="7" s="1"/>
  <c r="I364" i="7" s="1"/>
  <c r="I365" i="7" s="1"/>
  <c r="I366" i="7" s="1"/>
  <c r="I367" i="7" s="1"/>
  <c r="I368" i="7" s="1"/>
  <c r="I369" i="7" s="1"/>
  <c r="I370" i="7" s="1"/>
  <c r="I371" i="7" s="1"/>
  <c r="I372" i="7" s="1"/>
  <c r="I373" i="7" s="1"/>
  <c r="I374" i="7" s="1"/>
  <c r="I375" i="7" s="1"/>
  <c r="I376" i="7" s="1"/>
  <c r="I377" i="7" s="1"/>
  <c r="I378" i="7" s="1"/>
  <c r="I379" i="7" s="1"/>
  <c r="I380" i="7" s="1"/>
  <c r="I381" i="7" s="1"/>
  <c r="I382" i="7" s="1"/>
  <c r="I383" i="7" s="1"/>
  <c r="I384" i="7" s="1"/>
  <c r="I385" i="7" s="1"/>
  <c r="I386" i="7" s="1"/>
  <c r="I387" i="7" s="1"/>
  <c r="I388" i="7" s="1"/>
  <c r="I389" i="7" s="1"/>
  <c r="I390" i="7" s="1"/>
  <c r="I391" i="7" s="1"/>
  <c r="I392" i="7" s="1"/>
  <c r="I393" i="7" s="1"/>
  <c r="I394" i="7" s="1"/>
  <c r="I395" i="7" s="1"/>
  <c r="I396" i="7" s="1"/>
  <c r="I397" i="7" s="1"/>
  <c r="I398" i="7" s="1"/>
  <c r="I399" i="7" s="1"/>
  <c r="I400" i="7" s="1"/>
  <c r="I401" i="7" s="1"/>
  <c r="I402" i="7" s="1"/>
  <c r="I403" i="7" s="1"/>
  <c r="I404" i="7" s="1"/>
  <c r="I405" i="7" s="1"/>
  <c r="I406" i="7" s="1"/>
  <c r="I407" i="7" s="1"/>
  <c r="I408" i="7" s="1"/>
  <c r="I409" i="7" s="1"/>
  <c r="I410" i="7" s="1"/>
  <c r="I411" i="7" s="1"/>
  <c r="I412" i="7" s="1"/>
  <c r="I413" i="7" s="1"/>
  <c r="I414" i="7" s="1"/>
  <c r="I415" i="7" s="1"/>
  <c r="I416" i="7" s="1"/>
  <c r="I417" i="7" s="1"/>
  <c r="I418" i="7" s="1"/>
  <c r="I419" i="7" s="1"/>
  <c r="I420" i="7" s="1"/>
  <c r="I421" i="7" s="1"/>
  <c r="I422" i="7" s="1"/>
  <c r="I423" i="7" s="1"/>
  <c r="I424" i="7" s="1"/>
  <c r="I425" i="7" s="1"/>
  <c r="I426" i="7" s="1"/>
  <c r="I427" i="7" s="1"/>
  <c r="I428" i="7" s="1"/>
  <c r="I429" i="7" s="1"/>
  <c r="I430" i="7" s="1"/>
  <c r="I431" i="7" s="1"/>
  <c r="I432" i="7" s="1"/>
  <c r="I433" i="7" s="1"/>
  <c r="I434" i="7" s="1"/>
  <c r="I435" i="7" s="1"/>
  <c r="I436" i="7" s="1"/>
  <c r="I437" i="7" s="1"/>
  <c r="I438" i="7" s="1"/>
  <c r="I439" i="7" s="1"/>
  <c r="I440" i="7" s="1"/>
  <c r="I441" i="7" s="1"/>
  <c r="I442" i="7" s="1"/>
  <c r="I443" i="7" s="1"/>
  <c r="I444" i="7" s="1"/>
  <c r="I445" i="7" s="1"/>
  <c r="I446" i="7" s="1"/>
  <c r="I447" i="7" s="1"/>
  <c r="I448" i="7" s="1"/>
  <c r="I449" i="7" s="1"/>
  <c r="I450" i="7" s="1"/>
  <c r="I451" i="7" s="1"/>
  <c r="I452" i="7" s="1"/>
  <c r="I453" i="7" s="1"/>
  <c r="I454" i="7" s="1"/>
  <c r="I455" i="7" s="1"/>
  <c r="I456" i="7" s="1"/>
  <c r="I457" i="7" s="1"/>
  <c r="I458" i="7" s="1"/>
  <c r="I459" i="7" s="1"/>
  <c r="I460" i="7" s="1"/>
  <c r="I461" i="7" s="1"/>
  <c r="I462" i="7" s="1"/>
  <c r="I463" i="7" s="1"/>
  <c r="I464" i="7" s="1"/>
  <c r="I465" i="7" s="1"/>
  <c r="I466" i="7" s="1"/>
  <c r="I467" i="7" s="1"/>
  <c r="I468" i="7" s="1"/>
  <c r="I469" i="7" s="1"/>
  <c r="I470" i="7" s="1"/>
  <c r="I471" i="7" s="1"/>
  <c r="I472" i="7" s="1"/>
  <c r="I473" i="7" s="1"/>
  <c r="I474" i="7" s="1"/>
  <c r="I475" i="7" s="1"/>
  <c r="I476" i="7" s="1"/>
  <c r="I477" i="7" s="1"/>
  <c r="I478" i="7" s="1"/>
  <c r="I479" i="7" s="1"/>
  <c r="I480" i="7" s="1"/>
  <c r="I481" i="7" s="1"/>
  <c r="I482" i="7" s="1"/>
  <c r="I483" i="7" s="1"/>
  <c r="I484" i="7" s="1"/>
  <c r="I485" i="7" s="1"/>
  <c r="I486" i="7" s="1"/>
  <c r="I487" i="7" s="1"/>
  <c r="I488" i="7" s="1"/>
  <c r="I489" i="7" s="1"/>
  <c r="I490" i="7" s="1"/>
  <c r="I491" i="7" s="1"/>
  <c r="I492" i="7" s="1"/>
  <c r="I493" i="7" s="1"/>
  <c r="I494" i="7" s="1"/>
  <c r="I495" i="7" s="1"/>
  <c r="I496" i="7" s="1"/>
  <c r="K3" i="7"/>
  <c r="L3" i="7"/>
  <c r="A4" i="7"/>
  <c r="K4" i="7"/>
  <c r="L4" i="7"/>
  <c r="A5" i="7"/>
  <c r="K5" i="7"/>
  <c r="L5" i="7"/>
  <c r="A6" i="7"/>
  <c r="K6" i="7"/>
  <c r="L6" i="7"/>
  <c r="A7" i="7"/>
  <c r="K7" i="7"/>
  <c r="L7" i="7"/>
  <c r="A8" i="7"/>
  <c r="K8" i="7"/>
  <c r="L8" i="7"/>
  <c r="A9" i="7"/>
  <c r="K9" i="7"/>
  <c r="L9" i="7"/>
  <c r="A10" i="7"/>
  <c r="K10" i="7"/>
  <c r="L10" i="7"/>
  <c r="A11" i="7"/>
  <c r="K11" i="7"/>
  <c r="L11" i="7"/>
  <c r="A12" i="7"/>
  <c r="K12" i="7"/>
  <c r="L12" i="7"/>
  <c r="A13" i="7"/>
  <c r="K13" i="7"/>
  <c r="L13" i="7"/>
  <c r="A14" i="7"/>
  <c r="K14" i="7"/>
  <c r="L14" i="7"/>
  <c r="A15" i="7"/>
  <c r="K15" i="7"/>
  <c r="L15" i="7"/>
  <c r="A16" i="7"/>
  <c r="K16" i="7"/>
  <c r="L16" i="7"/>
  <c r="A17" i="7"/>
  <c r="K17" i="7"/>
  <c r="L17" i="7"/>
  <c r="A18" i="7"/>
  <c r="K18" i="7"/>
  <c r="L18" i="7"/>
  <c r="A19" i="7"/>
  <c r="K19" i="7"/>
  <c r="L19" i="7"/>
  <c r="A20" i="7"/>
  <c r="K20" i="7"/>
  <c r="L20" i="7"/>
  <c r="A21" i="7"/>
  <c r="K21" i="7"/>
  <c r="L21" i="7"/>
  <c r="A22" i="7"/>
  <c r="K22" i="7"/>
  <c r="L22" i="7"/>
  <c r="A23" i="7"/>
  <c r="K23" i="7"/>
  <c r="L23" i="7"/>
  <c r="A24" i="7"/>
  <c r="K24" i="7"/>
  <c r="L24" i="7"/>
  <c r="A25" i="7"/>
  <c r="K25" i="7"/>
  <c r="L25" i="7"/>
  <c r="A26" i="7"/>
  <c r="K26" i="7"/>
  <c r="L26" i="7"/>
  <c r="A27" i="7"/>
  <c r="K27" i="7"/>
  <c r="L27" i="7"/>
  <c r="A28" i="7"/>
  <c r="K28" i="7"/>
  <c r="L28" i="7"/>
  <c r="A29" i="7"/>
  <c r="K29" i="7"/>
  <c r="L29" i="7"/>
  <c r="A30" i="7"/>
  <c r="K30" i="7"/>
  <c r="L30" i="7"/>
  <c r="A31" i="7"/>
  <c r="K31" i="7"/>
  <c r="L31" i="7"/>
  <c r="A32" i="7"/>
  <c r="K32" i="7"/>
  <c r="L32" i="7"/>
  <c r="A33" i="7"/>
  <c r="K33" i="7"/>
  <c r="L33" i="7"/>
  <c r="A34" i="7"/>
  <c r="K34" i="7"/>
  <c r="L34" i="7"/>
  <c r="A35" i="7"/>
  <c r="K35" i="7"/>
  <c r="L35" i="7"/>
  <c r="A36" i="7"/>
  <c r="K36" i="7"/>
  <c r="L36" i="7"/>
  <c r="A37" i="7"/>
  <c r="K37" i="7"/>
  <c r="L37" i="7"/>
  <c r="A38" i="7"/>
  <c r="K38" i="7"/>
  <c r="L38" i="7"/>
  <c r="A39" i="7"/>
  <c r="K39" i="7"/>
  <c r="L39" i="7"/>
  <c r="A40" i="7"/>
  <c r="K40" i="7"/>
  <c r="L40" i="7"/>
  <c r="A41" i="7"/>
  <c r="K41" i="7"/>
  <c r="L41" i="7"/>
  <c r="A42" i="7"/>
  <c r="K42" i="7"/>
  <c r="L42" i="7"/>
  <c r="A43" i="7"/>
  <c r="K43" i="7"/>
  <c r="L43" i="7"/>
  <c r="A44" i="7"/>
  <c r="K44" i="7"/>
  <c r="L44" i="7"/>
  <c r="A45" i="7"/>
  <c r="K45" i="7"/>
  <c r="L45" i="7"/>
  <c r="A46" i="7"/>
  <c r="K46" i="7"/>
  <c r="L46" i="7"/>
  <c r="A47" i="7"/>
  <c r="K47" i="7"/>
  <c r="L47" i="7"/>
  <c r="A48" i="7"/>
  <c r="K48" i="7"/>
  <c r="L48" i="7"/>
  <c r="A49" i="7"/>
  <c r="K49" i="7"/>
  <c r="L49" i="7"/>
  <c r="A50" i="7"/>
  <c r="K50" i="7"/>
  <c r="L50" i="7"/>
  <c r="A51" i="7"/>
  <c r="K51" i="7"/>
  <c r="L51" i="7"/>
  <c r="A52" i="7"/>
  <c r="K52" i="7"/>
  <c r="L52" i="7"/>
  <c r="A53" i="7"/>
  <c r="K53" i="7"/>
  <c r="L53" i="7"/>
  <c r="A54" i="7"/>
  <c r="K54" i="7"/>
  <c r="L54" i="7"/>
  <c r="A55" i="7"/>
  <c r="K55" i="7"/>
  <c r="L55" i="7"/>
  <c r="A56" i="7"/>
  <c r="K56" i="7"/>
  <c r="L56" i="7"/>
  <c r="A57" i="7"/>
  <c r="K57" i="7"/>
  <c r="L57" i="7"/>
  <c r="A58" i="7"/>
  <c r="K58" i="7"/>
  <c r="L58" i="7"/>
  <c r="A59" i="7"/>
  <c r="K59" i="7"/>
  <c r="L59" i="7"/>
  <c r="A60" i="7"/>
  <c r="K60" i="7"/>
  <c r="L60" i="7"/>
  <c r="A61" i="7"/>
  <c r="K61" i="7"/>
  <c r="L61" i="7"/>
  <c r="A62" i="7"/>
  <c r="K62" i="7"/>
  <c r="L62" i="7"/>
  <c r="A63" i="7"/>
  <c r="K63" i="7"/>
  <c r="L63" i="7"/>
  <c r="A64" i="7"/>
  <c r="K64" i="7"/>
  <c r="L64" i="7"/>
  <c r="A65" i="7"/>
  <c r="K65" i="7"/>
  <c r="L65" i="7"/>
  <c r="A66" i="7"/>
  <c r="K66" i="7"/>
  <c r="L66" i="7"/>
  <c r="A67" i="7"/>
  <c r="K67" i="7"/>
  <c r="L67" i="7"/>
  <c r="A68" i="7"/>
  <c r="K68" i="7"/>
  <c r="L68" i="7"/>
  <c r="A69" i="7"/>
  <c r="K69" i="7"/>
  <c r="L69" i="7"/>
  <c r="A70" i="7"/>
  <c r="K70" i="7"/>
  <c r="L70" i="7"/>
  <c r="A71" i="7"/>
  <c r="K71" i="7"/>
  <c r="L71" i="7"/>
  <c r="A72" i="7"/>
  <c r="K72" i="7"/>
  <c r="L72" i="7"/>
  <c r="A73" i="7"/>
  <c r="K73" i="7"/>
  <c r="L73" i="7"/>
  <c r="A74" i="7"/>
  <c r="K74" i="7"/>
  <c r="L74" i="7"/>
  <c r="A75" i="7"/>
  <c r="K75" i="7"/>
  <c r="L75" i="7"/>
  <c r="A76" i="7"/>
  <c r="K76" i="7"/>
  <c r="L76" i="7"/>
  <c r="A77" i="7"/>
  <c r="K77" i="7"/>
  <c r="L77" i="7"/>
  <c r="A78" i="7"/>
  <c r="K78" i="7"/>
  <c r="L78" i="7"/>
  <c r="A79" i="7"/>
  <c r="K79" i="7"/>
  <c r="L79" i="7"/>
  <c r="A80" i="7"/>
  <c r="K80" i="7"/>
  <c r="L80" i="7"/>
  <c r="A81" i="7"/>
  <c r="K81" i="7"/>
  <c r="L81" i="7"/>
  <c r="A82" i="7"/>
  <c r="K82" i="7"/>
  <c r="L82" i="7"/>
  <c r="A83" i="7"/>
  <c r="K83" i="7"/>
  <c r="L83" i="7"/>
  <c r="A84" i="7"/>
  <c r="K84" i="7"/>
  <c r="L84" i="7"/>
  <c r="A85" i="7"/>
  <c r="K85" i="7"/>
  <c r="L85" i="7"/>
  <c r="A86" i="7"/>
  <c r="K86" i="7"/>
  <c r="L86" i="7"/>
  <c r="A87" i="7"/>
  <c r="K87" i="7"/>
  <c r="L87" i="7"/>
  <c r="A88" i="7"/>
  <c r="K88" i="7"/>
  <c r="L88" i="7"/>
  <c r="A89" i="7"/>
  <c r="K89" i="7"/>
  <c r="L89" i="7"/>
  <c r="A90" i="7"/>
  <c r="K90" i="7"/>
  <c r="L90" i="7"/>
  <c r="A91" i="7"/>
  <c r="K91" i="7"/>
  <c r="L91" i="7"/>
  <c r="A92" i="7"/>
  <c r="K92" i="7"/>
  <c r="L92" i="7"/>
  <c r="A93" i="7"/>
  <c r="K93" i="7"/>
  <c r="L93" i="7"/>
  <c r="A94" i="7"/>
  <c r="K94" i="7"/>
  <c r="L94" i="7"/>
  <c r="A95" i="7"/>
  <c r="K95" i="7"/>
  <c r="L95" i="7"/>
  <c r="A96" i="7"/>
  <c r="K96" i="7"/>
  <c r="L96" i="7"/>
  <c r="A97" i="7"/>
  <c r="K97" i="7"/>
  <c r="L97" i="7"/>
  <c r="A98" i="7"/>
  <c r="K98" i="7"/>
  <c r="L98" i="7"/>
  <c r="A99" i="7"/>
  <c r="K99" i="7"/>
  <c r="L99" i="7"/>
  <c r="A100" i="7"/>
  <c r="K100" i="7"/>
  <c r="L100" i="7"/>
  <c r="A101" i="7"/>
  <c r="K101" i="7"/>
  <c r="L101" i="7"/>
  <c r="A102" i="7"/>
  <c r="K102" i="7"/>
  <c r="L102" i="7"/>
  <c r="A103" i="7"/>
  <c r="K103" i="7"/>
  <c r="L103" i="7"/>
  <c r="A104" i="7"/>
  <c r="K104" i="7"/>
  <c r="L104" i="7"/>
  <c r="A105" i="7"/>
  <c r="K105" i="7"/>
  <c r="L105" i="7"/>
  <c r="A106" i="7"/>
  <c r="K106" i="7"/>
  <c r="L106" i="7"/>
  <c r="A107" i="7"/>
  <c r="K107" i="7"/>
  <c r="L107" i="7"/>
  <c r="A108" i="7"/>
  <c r="K108" i="7"/>
  <c r="L108" i="7"/>
  <c r="A109" i="7"/>
  <c r="K109" i="7"/>
  <c r="L109" i="7"/>
  <c r="A110" i="7"/>
  <c r="K110" i="7"/>
  <c r="L110" i="7"/>
  <c r="A111" i="7"/>
  <c r="K111" i="7"/>
  <c r="L111" i="7"/>
  <c r="A112" i="7"/>
  <c r="K112" i="7"/>
  <c r="L112" i="7"/>
  <c r="A113" i="7"/>
  <c r="K113" i="7"/>
  <c r="L113" i="7"/>
  <c r="A114" i="7"/>
  <c r="K114" i="7"/>
  <c r="L114" i="7"/>
  <c r="A115" i="7"/>
  <c r="K115" i="7"/>
  <c r="L115" i="7"/>
  <c r="A116" i="7"/>
  <c r="K116" i="7"/>
  <c r="L116" i="7"/>
  <c r="A117" i="7"/>
  <c r="K117" i="7"/>
  <c r="L117" i="7"/>
  <c r="A118" i="7"/>
  <c r="K118" i="7"/>
  <c r="L118" i="7"/>
  <c r="A119" i="7"/>
  <c r="K119" i="7"/>
  <c r="L119" i="7"/>
  <c r="A120" i="7"/>
  <c r="K120" i="7"/>
  <c r="L120" i="7"/>
  <c r="A121" i="7"/>
  <c r="K121" i="7"/>
  <c r="L121" i="7"/>
  <c r="A122" i="7"/>
  <c r="K122" i="7"/>
  <c r="L122" i="7"/>
  <c r="A123" i="7"/>
  <c r="K123" i="7"/>
  <c r="L123" i="7"/>
  <c r="A124" i="7"/>
  <c r="K124" i="7"/>
  <c r="L124" i="7"/>
  <c r="A125" i="7"/>
  <c r="K125" i="7"/>
  <c r="L125" i="7"/>
  <c r="A126" i="7"/>
  <c r="K126" i="7"/>
  <c r="L126" i="7"/>
  <c r="A127" i="7"/>
  <c r="K127" i="7"/>
  <c r="L127" i="7"/>
  <c r="A128" i="7"/>
  <c r="K128" i="7"/>
  <c r="L128" i="7"/>
  <c r="A129" i="7"/>
  <c r="K129" i="7"/>
  <c r="L129" i="7"/>
  <c r="A130" i="7"/>
  <c r="K130" i="7"/>
  <c r="L130" i="7"/>
  <c r="A131" i="7"/>
  <c r="K131" i="7"/>
  <c r="L131" i="7"/>
  <c r="A132" i="7"/>
  <c r="K132" i="7"/>
  <c r="L132" i="7"/>
  <c r="A133" i="7"/>
  <c r="K133" i="7"/>
  <c r="L133" i="7"/>
  <c r="A134" i="7"/>
  <c r="K134" i="7"/>
  <c r="L134" i="7"/>
  <c r="A135" i="7"/>
  <c r="K135" i="7"/>
  <c r="L135" i="7"/>
  <c r="A136" i="7"/>
  <c r="K136" i="7"/>
  <c r="L136" i="7"/>
  <c r="A137" i="7"/>
  <c r="K137" i="7"/>
  <c r="L137" i="7"/>
  <c r="A138" i="7"/>
  <c r="K138" i="7"/>
  <c r="L138" i="7"/>
  <c r="A139" i="7"/>
  <c r="K139" i="7"/>
  <c r="L139" i="7"/>
  <c r="A140" i="7"/>
  <c r="K140" i="7"/>
  <c r="L140" i="7"/>
  <c r="A141" i="7"/>
  <c r="K141" i="7"/>
  <c r="L141" i="7"/>
  <c r="A142" i="7"/>
  <c r="K142" i="7"/>
  <c r="L142" i="7"/>
  <c r="A143" i="7"/>
  <c r="K143" i="7"/>
  <c r="L143" i="7"/>
  <c r="A144" i="7"/>
  <c r="K144" i="7"/>
  <c r="L144" i="7"/>
  <c r="A145" i="7"/>
  <c r="K145" i="7"/>
  <c r="L145" i="7"/>
  <c r="A146" i="7"/>
  <c r="K146" i="7"/>
  <c r="L146" i="7"/>
  <c r="A147" i="7"/>
  <c r="K147" i="7"/>
  <c r="L147" i="7"/>
  <c r="A148" i="7"/>
  <c r="K148" i="7"/>
  <c r="L148" i="7"/>
  <c r="A149" i="7"/>
  <c r="K149" i="7"/>
  <c r="L149" i="7"/>
  <c r="A150" i="7"/>
  <c r="K150" i="7"/>
  <c r="L150" i="7"/>
  <c r="A151" i="7"/>
  <c r="K151" i="7"/>
  <c r="L151" i="7"/>
  <c r="A152" i="7"/>
  <c r="K152" i="7"/>
  <c r="L152" i="7"/>
  <c r="A153" i="7"/>
  <c r="K153" i="7"/>
  <c r="L153" i="7"/>
  <c r="A154" i="7"/>
  <c r="K154" i="7"/>
  <c r="L154" i="7"/>
  <c r="A155" i="7"/>
  <c r="K155" i="7"/>
  <c r="L155" i="7"/>
  <c r="A156" i="7"/>
  <c r="K156" i="7"/>
  <c r="L156" i="7"/>
  <c r="A157" i="7"/>
  <c r="K157" i="7"/>
  <c r="L157" i="7"/>
  <c r="A158" i="7"/>
  <c r="K158" i="7"/>
  <c r="L158" i="7"/>
  <c r="A159" i="7"/>
  <c r="K159" i="7"/>
  <c r="L159" i="7"/>
  <c r="A160" i="7"/>
  <c r="K160" i="7"/>
  <c r="L160" i="7"/>
  <c r="A161" i="7"/>
  <c r="K161" i="7"/>
  <c r="L161" i="7"/>
  <c r="A162" i="7"/>
  <c r="K162" i="7"/>
  <c r="L162" i="7"/>
  <c r="A163" i="7"/>
  <c r="K163" i="7"/>
  <c r="L163" i="7"/>
  <c r="A164" i="7"/>
  <c r="K164" i="7"/>
  <c r="L164" i="7"/>
  <c r="A165" i="7"/>
  <c r="K165" i="7"/>
  <c r="L165" i="7"/>
  <c r="A166" i="7"/>
  <c r="K166" i="7"/>
  <c r="L166" i="7"/>
  <c r="A167" i="7"/>
  <c r="K167" i="7"/>
  <c r="L167" i="7"/>
  <c r="A168" i="7"/>
  <c r="K168" i="7"/>
  <c r="L168" i="7"/>
  <c r="A169" i="7"/>
  <c r="K169" i="7"/>
  <c r="L169" i="7"/>
  <c r="A170" i="7"/>
  <c r="K170" i="7"/>
  <c r="L170" i="7"/>
  <c r="A171" i="7"/>
  <c r="K171" i="7"/>
  <c r="L171" i="7"/>
  <c r="A172" i="7"/>
  <c r="K172" i="7"/>
  <c r="L172" i="7"/>
  <c r="A173" i="7"/>
  <c r="K173" i="7"/>
  <c r="L173" i="7"/>
  <c r="A174" i="7"/>
  <c r="K174" i="7"/>
  <c r="L174" i="7"/>
  <c r="A175" i="7"/>
  <c r="K175" i="7"/>
  <c r="L175" i="7"/>
  <c r="A176" i="7"/>
  <c r="K176" i="7"/>
  <c r="L176" i="7"/>
  <c r="A177" i="7"/>
  <c r="K177" i="7"/>
  <c r="L177" i="7"/>
  <c r="A178" i="7"/>
  <c r="K178" i="7"/>
  <c r="L178" i="7"/>
  <c r="A179" i="7"/>
  <c r="K179" i="7"/>
  <c r="L179" i="7"/>
  <c r="A180" i="7"/>
  <c r="K180" i="7"/>
  <c r="L180" i="7"/>
  <c r="A181" i="7"/>
  <c r="K181" i="7"/>
  <c r="L181" i="7"/>
  <c r="A182" i="7"/>
  <c r="K182" i="7"/>
  <c r="L182" i="7"/>
  <c r="A183" i="7"/>
  <c r="K183" i="7"/>
  <c r="L183" i="7"/>
  <c r="A184" i="7"/>
  <c r="K184" i="7"/>
  <c r="L184" i="7"/>
  <c r="A185" i="7"/>
  <c r="K185" i="7"/>
  <c r="L185" i="7"/>
  <c r="A186" i="7"/>
  <c r="K186" i="7"/>
  <c r="L186" i="7"/>
  <c r="A187" i="7"/>
  <c r="K187" i="7"/>
  <c r="L187" i="7"/>
  <c r="A188" i="7"/>
  <c r="K188" i="7"/>
  <c r="L188" i="7"/>
  <c r="A189" i="7"/>
  <c r="K189" i="7"/>
  <c r="L189" i="7"/>
  <c r="A190" i="7"/>
  <c r="K190" i="7"/>
  <c r="L190" i="7"/>
  <c r="A191" i="7"/>
  <c r="K191" i="7"/>
  <c r="L191" i="7"/>
  <c r="A192" i="7"/>
  <c r="K192" i="7"/>
  <c r="L192" i="7"/>
  <c r="A193" i="7"/>
  <c r="K193" i="7"/>
  <c r="L193" i="7"/>
  <c r="A194" i="7"/>
  <c r="K194" i="7"/>
  <c r="L194" i="7"/>
  <c r="A195" i="7"/>
  <c r="K195" i="7"/>
  <c r="L195" i="7"/>
  <c r="A196" i="7"/>
  <c r="K196" i="7"/>
  <c r="L196" i="7"/>
  <c r="A197" i="7"/>
  <c r="K197" i="7"/>
  <c r="L197" i="7"/>
  <c r="A198" i="7"/>
  <c r="K198" i="7"/>
  <c r="L198" i="7"/>
  <c r="A199" i="7"/>
  <c r="K199" i="7"/>
  <c r="L199" i="7"/>
  <c r="A200" i="7"/>
  <c r="K200" i="7"/>
  <c r="L200" i="7"/>
  <c r="A201" i="7"/>
  <c r="K201" i="7"/>
  <c r="L201" i="7"/>
  <c r="A202" i="7"/>
  <c r="K202" i="7"/>
  <c r="L202" i="7"/>
  <c r="A203" i="7"/>
  <c r="K203" i="7"/>
  <c r="L203" i="7"/>
  <c r="A204" i="7"/>
  <c r="K204" i="7"/>
  <c r="L204" i="7"/>
  <c r="A205" i="7"/>
  <c r="K205" i="7"/>
  <c r="L205" i="7"/>
  <c r="A206" i="7"/>
  <c r="K206" i="7"/>
  <c r="L206" i="7"/>
  <c r="A207" i="7"/>
  <c r="K207" i="7"/>
  <c r="L207" i="7"/>
  <c r="A208" i="7"/>
  <c r="K208" i="7"/>
  <c r="L208" i="7"/>
  <c r="A209" i="7"/>
  <c r="K209" i="7"/>
  <c r="L209" i="7"/>
  <c r="A210" i="7"/>
  <c r="K210" i="7"/>
  <c r="L210" i="7"/>
  <c r="A211" i="7"/>
  <c r="K211" i="7"/>
  <c r="L211" i="7"/>
  <c r="A212" i="7"/>
  <c r="K212" i="7"/>
  <c r="L212" i="7"/>
  <c r="A213" i="7"/>
  <c r="K213" i="7"/>
  <c r="L213" i="7"/>
  <c r="A214" i="7"/>
  <c r="K214" i="7"/>
  <c r="L214" i="7"/>
  <c r="A215" i="7"/>
  <c r="K215" i="7"/>
  <c r="L215" i="7"/>
  <c r="A216" i="7"/>
  <c r="K216" i="7"/>
  <c r="L216" i="7"/>
  <c r="A217" i="7"/>
  <c r="K217" i="7"/>
  <c r="L217" i="7"/>
  <c r="A218" i="7"/>
  <c r="K218" i="7"/>
  <c r="L218" i="7"/>
  <c r="A219" i="7"/>
  <c r="K219" i="7"/>
  <c r="L219" i="7"/>
  <c r="A220" i="7"/>
  <c r="K220" i="7"/>
  <c r="L220" i="7"/>
  <c r="A221" i="7"/>
  <c r="K221" i="7"/>
  <c r="L221" i="7"/>
  <c r="A222" i="7"/>
  <c r="K222" i="7"/>
  <c r="L222" i="7"/>
  <c r="A223" i="7"/>
  <c r="K223" i="7"/>
  <c r="L223" i="7"/>
  <c r="A224" i="7"/>
  <c r="K224" i="7"/>
  <c r="L224" i="7"/>
  <c r="A225" i="7"/>
  <c r="K225" i="7"/>
  <c r="L225" i="7"/>
  <c r="A226" i="7"/>
  <c r="K226" i="7"/>
  <c r="L226" i="7"/>
  <c r="A227" i="7"/>
  <c r="K227" i="7"/>
  <c r="L227" i="7"/>
  <c r="A228" i="7"/>
  <c r="K228" i="7"/>
  <c r="L228" i="7"/>
  <c r="A229" i="7"/>
  <c r="K229" i="7"/>
  <c r="L229" i="7"/>
  <c r="A230" i="7"/>
  <c r="K230" i="7"/>
  <c r="L230" i="7"/>
  <c r="A231" i="7"/>
  <c r="K231" i="7"/>
  <c r="L231" i="7"/>
  <c r="A232" i="7"/>
  <c r="K232" i="7"/>
  <c r="L232" i="7"/>
  <c r="A233" i="7"/>
  <c r="K233" i="7"/>
  <c r="L233" i="7"/>
  <c r="A234" i="7"/>
  <c r="K234" i="7"/>
  <c r="L234" i="7"/>
  <c r="A235" i="7"/>
  <c r="K235" i="7"/>
  <c r="L235" i="7"/>
  <c r="A236" i="7"/>
  <c r="K236" i="7"/>
  <c r="L236" i="7"/>
  <c r="A237" i="7"/>
  <c r="K237" i="7"/>
  <c r="L237" i="7"/>
  <c r="A238" i="7"/>
  <c r="K238" i="7"/>
  <c r="L238" i="7"/>
  <c r="A239" i="7"/>
  <c r="K239" i="7"/>
  <c r="L239" i="7"/>
  <c r="A240" i="7"/>
  <c r="K240" i="7"/>
  <c r="L240" i="7"/>
  <c r="A241" i="7"/>
  <c r="K241" i="7"/>
  <c r="L241" i="7"/>
  <c r="A242" i="7"/>
  <c r="K242" i="7"/>
  <c r="L242" i="7"/>
  <c r="A243" i="7"/>
  <c r="K243" i="7"/>
  <c r="L243" i="7"/>
  <c r="A244" i="7"/>
  <c r="K244" i="7"/>
  <c r="L244" i="7"/>
  <c r="A245" i="7"/>
  <c r="K245" i="7"/>
  <c r="L245" i="7"/>
  <c r="A246" i="7"/>
  <c r="K246" i="7"/>
  <c r="L246" i="7"/>
  <c r="A247" i="7"/>
  <c r="K247" i="7"/>
  <c r="L247" i="7"/>
  <c r="A248" i="7"/>
  <c r="K248" i="7"/>
  <c r="L248" i="7"/>
  <c r="A249" i="7"/>
  <c r="K249" i="7"/>
  <c r="L249" i="7"/>
  <c r="A250" i="7"/>
  <c r="K250" i="7"/>
  <c r="L250" i="7"/>
  <c r="A251" i="7"/>
  <c r="K251" i="7"/>
  <c r="L251" i="7"/>
  <c r="A252" i="7"/>
  <c r="K252" i="7"/>
  <c r="L252" i="7"/>
  <c r="A253" i="7"/>
  <c r="K253" i="7"/>
  <c r="L253" i="7"/>
  <c r="A254" i="7"/>
  <c r="K254" i="7"/>
  <c r="L254" i="7"/>
  <c r="A255" i="7"/>
  <c r="K255" i="7"/>
  <c r="L255" i="7"/>
  <c r="A256" i="7"/>
  <c r="K256" i="7"/>
  <c r="L256" i="7"/>
  <c r="A257" i="7"/>
  <c r="K257" i="7"/>
  <c r="L257" i="7"/>
  <c r="A258" i="7"/>
  <c r="K258" i="7"/>
  <c r="L258" i="7"/>
  <c r="A259" i="7"/>
  <c r="K259" i="7"/>
  <c r="L259" i="7"/>
  <c r="A260" i="7"/>
  <c r="K260" i="7"/>
  <c r="L260" i="7"/>
  <c r="A261" i="7"/>
  <c r="K261" i="7"/>
  <c r="L261" i="7"/>
  <c r="A262" i="7"/>
  <c r="K262" i="7"/>
  <c r="L262" i="7"/>
  <c r="A263" i="7"/>
  <c r="K263" i="7"/>
  <c r="L263" i="7"/>
  <c r="A264" i="7"/>
  <c r="K264" i="7"/>
  <c r="L264" i="7"/>
  <c r="A265" i="7"/>
  <c r="K265" i="7"/>
  <c r="L265" i="7"/>
  <c r="A266" i="7"/>
  <c r="K266" i="7"/>
  <c r="L266" i="7"/>
  <c r="A267" i="7"/>
  <c r="K267" i="7"/>
  <c r="L267" i="7"/>
  <c r="A268" i="7"/>
  <c r="K268" i="7"/>
  <c r="L268" i="7"/>
  <c r="A269" i="7"/>
  <c r="K269" i="7"/>
  <c r="L269" i="7"/>
  <c r="A270" i="7"/>
  <c r="K270" i="7"/>
  <c r="L270" i="7"/>
  <c r="A271" i="7"/>
  <c r="K271" i="7"/>
  <c r="L271" i="7"/>
  <c r="A272" i="7"/>
  <c r="K272" i="7"/>
  <c r="L272" i="7"/>
  <c r="A273" i="7"/>
  <c r="K273" i="7"/>
  <c r="L273" i="7"/>
  <c r="A274" i="7"/>
  <c r="K274" i="7"/>
  <c r="L274" i="7"/>
  <c r="A275" i="7"/>
  <c r="K275" i="7"/>
  <c r="L275" i="7"/>
  <c r="A276" i="7"/>
  <c r="K276" i="7"/>
  <c r="L276" i="7"/>
  <c r="A277" i="7"/>
  <c r="K277" i="7"/>
  <c r="L277" i="7"/>
  <c r="A278" i="7"/>
  <c r="K278" i="7"/>
  <c r="L278" i="7"/>
  <c r="A279" i="7"/>
  <c r="K279" i="7"/>
  <c r="L279" i="7"/>
  <c r="A280" i="7"/>
  <c r="K280" i="7"/>
  <c r="L280" i="7"/>
  <c r="A281" i="7"/>
  <c r="K281" i="7"/>
  <c r="L281" i="7"/>
  <c r="A282" i="7"/>
  <c r="K282" i="7"/>
  <c r="L282" i="7"/>
  <c r="A283" i="7"/>
  <c r="K283" i="7"/>
  <c r="L283" i="7"/>
  <c r="A284" i="7"/>
  <c r="K284" i="7"/>
  <c r="L284" i="7"/>
  <c r="A285" i="7"/>
  <c r="K285" i="7"/>
  <c r="L285" i="7"/>
  <c r="A286" i="7"/>
  <c r="K286" i="7"/>
  <c r="L286" i="7"/>
  <c r="A287" i="7"/>
  <c r="K287" i="7"/>
  <c r="L287" i="7"/>
  <c r="A288" i="7"/>
  <c r="K288" i="7"/>
  <c r="L288" i="7"/>
  <c r="A289" i="7"/>
  <c r="K289" i="7"/>
  <c r="L289" i="7"/>
  <c r="A290" i="7"/>
  <c r="K290" i="7"/>
  <c r="L290" i="7"/>
  <c r="A291" i="7"/>
  <c r="K291" i="7"/>
  <c r="L291" i="7"/>
  <c r="A292" i="7"/>
  <c r="K292" i="7"/>
  <c r="L292" i="7"/>
  <c r="A293" i="7"/>
  <c r="K293" i="7"/>
  <c r="L293" i="7"/>
  <c r="A294" i="7"/>
  <c r="K294" i="7"/>
  <c r="L294" i="7"/>
  <c r="A295" i="7"/>
  <c r="K295" i="7"/>
  <c r="L295" i="7"/>
  <c r="A296" i="7"/>
  <c r="K296" i="7"/>
  <c r="L296" i="7"/>
  <c r="A297" i="7"/>
  <c r="K297" i="7"/>
  <c r="L297" i="7"/>
  <c r="A298" i="7"/>
  <c r="K298" i="7"/>
  <c r="L298" i="7"/>
  <c r="A299" i="7"/>
  <c r="K299" i="7"/>
  <c r="L299" i="7"/>
  <c r="A300" i="7"/>
  <c r="K300" i="7"/>
  <c r="L300" i="7"/>
  <c r="A301" i="7"/>
  <c r="K301" i="7"/>
  <c r="L301" i="7"/>
  <c r="A302" i="7"/>
  <c r="K302" i="7"/>
  <c r="L302" i="7"/>
  <c r="A303" i="7"/>
  <c r="K303" i="7"/>
  <c r="L303" i="7"/>
  <c r="A304" i="7"/>
  <c r="K304" i="7"/>
  <c r="L304" i="7"/>
  <c r="A305" i="7"/>
  <c r="K305" i="7"/>
  <c r="L305" i="7"/>
  <c r="A306" i="7"/>
  <c r="K306" i="7"/>
  <c r="L306" i="7"/>
  <c r="A307" i="7"/>
  <c r="K307" i="7"/>
  <c r="L307" i="7"/>
  <c r="A308" i="7"/>
  <c r="K308" i="7"/>
  <c r="L308" i="7"/>
  <c r="A309" i="7"/>
  <c r="K309" i="7"/>
  <c r="L309" i="7"/>
  <c r="A310" i="7"/>
  <c r="K310" i="7"/>
  <c r="L310" i="7"/>
  <c r="A311" i="7"/>
  <c r="K311" i="7"/>
  <c r="L311" i="7"/>
  <c r="A312" i="7"/>
  <c r="K312" i="7"/>
  <c r="L312" i="7"/>
  <c r="A313" i="7"/>
  <c r="K313" i="7"/>
  <c r="L313" i="7"/>
  <c r="A314" i="7"/>
  <c r="K314" i="7"/>
  <c r="L314" i="7"/>
  <c r="A315" i="7"/>
  <c r="K315" i="7"/>
  <c r="L315" i="7"/>
  <c r="A316" i="7"/>
  <c r="K316" i="7"/>
  <c r="L316" i="7"/>
  <c r="A317" i="7"/>
  <c r="K317" i="7"/>
  <c r="L317" i="7"/>
  <c r="A318" i="7"/>
  <c r="K318" i="7"/>
  <c r="L318" i="7"/>
  <c r="A319" i="7"/>
  <c r="K319" i="7"/>
  <c r="L319" i="7"/>
  <c r="A320" i="7"/>
  <c r="K320" i="7"/>
  <c r="L320" i="7"/>
  <c r="A321" i="7"/>
  <c r="K321" i="7"/>
  <c r="L321" i="7"/>
  <c r="A322" i="7"/>
  <c r="K322" i="7"/>
  <c r="L322" i="7"/>
  <c r="A323" i="7"/>
  <c r="K323" i="7"/>
  <c r="L323" i="7"/>
  <c r="A324" i="7"/>
  <c r="K324" i="7"/>
  <c r="L324" i="7"/>
  <c r="A325" i="7"/>
  <c r="K325" i="7"/>
  <c r="L325" i="7"/>
  <c r="A326" i="7"/>
  <c r="K326" i="7"/>
  <c r="L326" i="7"/>
  <c r="A327" i="7"/>
  <c r="K327" i="7"/>
  <c r="L327" i="7"/>
  <c r="A328" i="7"/>
  <c r="K328" i="7"/>
  <c r="L328" i="7"/>
  <c r="A329" i="7"/>
  <c r="K329" i="7"/>
  <c r="L329" i="7"/>
  <c r="A330" i="7"/>
  <c r="K330" i="7"/>
  <c r="L330" i="7"/>
  <c r="A331" i="7"/>
  <c r="K331" i="7"/>
  <c r="L331" i="7"/>
  <c r="A332" i="7"/>
  <c r="K332" i="7"/>
  <c r="L332" i="7"/>
  <c r="A333" i="7"/>
  <c r="K333" i="7"/>
  <c r="L333" i="7"/>
  <c r="A334" i="7"/>
  <c r="K334" i="7"/>
  <c r="L334" i="7"/>
  <c r="A335" i="7"/>
  <c r="K335" i="7"/>
  <c r="L335" i="7"/>
  <c r="A336" i="7"/>
  <c r="K336" i="7"/>
  <c r="L336" i="7"/>
  <c r="A337" i="7"/>
  <c r="K337" i="7"/>
  <c r="L337" i="7"/>
  <c r="A338" i="7"/>
  <c r="K338" i="7"/>
  <c r="L338" i="7"/>
  <c r="A339" i="7"/>
  <c r="K339" i="7"/>
  <c r="L339" i="7"/>
  <c r="A340" i="7"/>
  <c r="K340" i="7"/>
  <c r="L340" i="7"/>
  <c r="A341" i="7"/>
  <c r="K341" i="7"/>
  <c r="L341" i="7"/>
  <c r="A342" i="7"/>
  <c r="K342" i="7"/>
  <c r="L342" i="7"/>
  <c r="A343" i="7"/>
  <c r="K343" i="7"/>
  <c r="L343" i="7"/>
  <c r="A344" i="7"/>
  <c r="K344" i="7"/>
  <c r="L344" i="7"/>
  <c r="A345" i="7"/>
  <c r="K345" i="7"/>
  <c r="L345" i="7"/>
  <c r="A346" i="7"/>
  <c r="K346" i="7"/>
  <c r="L346" i="7"/>
  <c r="A347" i="7"/>
  <c r="K347" i="7"/>
  <c r="L347" i="7"/>
  <c r="A348" i="7"/>
  <c r="K348" i="7"/>
  <c r="L348" i="7"/>
  <c r="A349" i="7"/>
  <c r="K349" i="7"/>
  <c r="L349" i="7"/>
  <c r="A350" i="7"/>
  <c r="K350" i="7"/>
  <c r="L350" i="7"/>
  <c r="A351" i="7"/>
  <c r="K351" i="7"/>
  <c r="L351" i="7"/>
  <c r="A352" i="7"/>
  <c r="K352" i="7"/>
  <c r="L352" i="7"/>
  <c r="A353" i="7"/>
  <c r="K353" i="7"/>
  <c r="L353" i="7"/>
  <c r="A354" i="7"/>
  <c r="K354" i="7"/>
  <c r="L354" i="7"/>
  <c r="A355" i="7"/>
  <c r="K355" i="7"/>
  <c r="L355" i="7"/>
  <c r="A356" i="7"/>
  <c r="K356" i="7"/>
  <c r="L356" i="7"/>
  <c r="A357" i="7"/>
  <c r="K357" i="7"/>
  <c r="L357" i="7"/>
  <c r="A358" i="7"/>
  <c r="K358" i="7"/>
  <c r="L358" i="7"/>
  <c r="A359" i="7"/>
  <c r="K359" i="7"/>
  <c r="L359" i="7"/>
  <c r="A360" i="7"/>
  <c r="K360" i="7"/>
  <c r="L360" i="7"/>
  <c r="A361" i="7"/>
  <c r="K361" i="7"/>
  <c r="L361" i="7"/>
  <c r="A362" i="7"/>
  <c r="K362" i="7"/>
  <c r="L362" i="7"/>
  <c r="A363" i="7"/>
  <c r="K363" i="7"/>
  <c r="L363" i="7"/>
  <c r="A364" i="7"/>
  <c r="K364" i="7"/>
  <c r="L364" i="7"/>
  <c r="A365" i="7"/>
  <c r="K365" i="7"/>
  <c r="L365" i="7"/>
  <c r="A366" i="7"/>
  <c r="K366" i="7"/>
  <c r="L366" i="7"/>
  <c r="A367" i="7"/>
  <c r="K367" i="7"/>
  <c r="L367" i="7"/>
  <c r="A368" i="7"/>
  <c r="K368" i="7"/>
  <c r="L368" i="7"/>
  <c r="A369" i="7"/>
  <c r="K369" i="7"/>
  <c r="L369" i="7"/>
  <c r="A370" i="7"/>
  <c r="K370" i="7"/>
  <c r="L370" i="7"/>
  <c r="A371" i="7"/>
  <c r="K371" i="7"/>
  <c r="L371" i="7"/>
  <c r="A372" i="7"/>
  <c r="K372" i="7"/>
  <c r="L372" i="7"/>
  <c r="A373" i="7"/>
  <c r="K373" i="7"/>
  <c r="L373" i="7"/>
  <c r="A374" i="7"/>
  <c r="K374" i="7"/>
  <c r="L374" i="7"/>
  <c r="A375" i="7"/>
  <c r="K375" i="7"/>
  <c r="L375" i="7"/>
  <c r="A376" i="7"/>
  <c r="K376" i="7"/>
  <c r="L376" i="7"/>
  <c r="A377" i="7"/>
  <c r="K377" i="7"/>
  <c r="L377" i="7"/>
  <c r="A378" i="7"/>
  <c r="K378" i="7"/>
  <c r="L378" i="7"/>
  <c r="A379" i="7"/>
  <c r="K379" i="7"/>
  <c r="L379" i="7"/>
  <c r="A380" i="7"/>
  <c r="K380" i="7"/>
  <c r="L380" i="7"/>
  <c r="A381" i="7"/>
  <c r="K381" i="7"/>
  <c r="L381" i="7"/>
  <c r="A382" i="7"/>
  <c r="K382" i="7"/>
  <c r="L382" i="7"/>
  <c r="A383" i="7"/>
  <c r="K383" i="7"/>
  <c r="L383" i="7"/>
  <c r="A384" i="7"/>
  <c r="K384" i="7"/>
  <c r="L384" i="7"/>
  <c r="A385" i="7"/>
  <c r="K385" i="7"/>
  <c r="L385" i="7"/>
  <c r="A386" i="7"/>
  <c r="K386" i="7"/>
  <c r="L386" i="7"/>
  <c r="A387" i="7"/>
  <c r="K387" i="7"/>
  <c r="L387" i="7"/>
  <c r="A388" i="7"/>
  <c r="K388" i="7"/>
  <c r="L388" i="7"/>
  <c r="A389" i="7"/>
  <c r="K389" i="7"/>
  <c r="L389" i="7"/>
  <c r="A390" i="7"/>
  <c r="K390" i="7"/>
  <c r="L390" i="7"/>
  <c r="A391" i="7"/>
  <c r="K391" i="7"/>
  <c r="L391" i="7"/>
  <c r="A392" i="7"/>
  <c r="K392" i="7"/>
  <c r="L392" i="7"/>
  <c r="A393" i="7"/>
  <c r="K393" i="7"/>
  <c r="L393" i="7"/>
  <c r="A394" i="7"/>
  <c r="K394" i="7"/>
  <c r="L394" i="7"/>
  <c r="A395" i="7"/>
  <c r="K395" i="7"/>
  <c r="L395" i="7"/>
  <c r="A396" i="7"/>
  <c r="K396" i="7"/>
  <c r="L396" i="7"/>
  <c r="A397" i="7"/>
  <c r="K397" i="7"/>
  <c r="L397" i="7"/>
  <c r="A398" i="7"/>
  <c r="K398" i="7"/>
  <c r="L398" i="7"/>
  <c r="A399" i="7"/>
  <c r="K399" i="7"/>
  <c r="L399" i="7"/>
  <c r="A400" i="7"/>
  <c r="K400" i="7"/>
  <c r="L400" i="7"/>
  <c r="A401" i="7"/>
  <c r="K401" i="7"/>
  <c r="L401" i="7"/>
  <c r="A402" i="7"/>
  <c r="K402" i="7"/>
  <c r="L402" i="7"/>
  <c r="A403" i="7"/>
  <c r="K403" i="7"/>
  <c r="L403" i="7"/>
  <c r="A404" i="7"/>
  <c r="K404" i="7"/>
  <c r="L404" i="7"/>
  <c r="A405" i="7"/>
  <c r="K405" i="7"/>
  <c r="L405" i="7"/>
  <c r="A406" i="7"/>
  <c r="K406" i="7"/>
  <c r="L406" i="7"/>
  <c r="A407" i="7"/>
  <c r="K407" i="7"/>
  <c r="L407" i="7"/>
  <c r="A408" i="7"/>
  <c r="K408" i="7"/>
  <c r="L408" i="7"/>
  <c r="A409" i="7"/>
  <c r="K409" i="7"/>
  <c r="L409" i="7"/>
  <c r="A410" i="7"/>
  <c r="K410" i="7"/>
  <c r="L410" i="7"/>
  <c r="A411" i="7"/>
  <c r="K411" i="7"/>
  <c r="L411" i="7"/>
  <c r="A412" i="7"/>
  <c r="K412" i="7"/>
  <c r="L412" i="7"/>
  <c r="A413" i="7"/>
  <c r="K413" i="7"/>
  <c r="L413" i="7"/>
  <c r="A414" i="7"/>
  <c r="K414" i="7"/>
  <c r="L414" i="7"/>
  <c r="A415" i="7"/>
  <c r="K415" i="7"/>
  <c r="L415" i="7"/>
  <c r="A416" i="7"/>
  <c r="K416" i="7"/>
  <c r="L416" i="7"/>
  <c r="A417" i="7"/>
  <c r="K417" i="7"/>
  <c r="L417" i="7"/>
  <c r="A418" i="7"/>
  <c r="K418" i="7"/>
  <c r="L418" i="7"/>
  <c r="A419" i="7"/>
  <c r="K419" i="7"/>
  <c r="L419" i="7"/>
  <c r="A420" i="7"/>
  <c r="K420" i="7"/>
  <c r="L420" i="7"/>
  <c r="A421" i="7"/>
  <c r="K421" i="7"/>
  <c r="L421" i="7"/>
  <c r="A422" i="7"/>
  <c r="K422" i="7"/>
  <c r="L422" i="7"/>
  <c r="A423" i="7"/>
  <c r="K423" i="7"/>
  <c r="L423" i="7"/>
  <c r="A424" i="7"/>
  <c r="K424" i="7"/>
  <c r="L424" i="7"/>
  <c r="A425" i="7"/>
  <c r="K425" i="7"/>
  <c r="L425" i="7"/>
  <c r="A426" i="7"/>
  <c r="K426" i="7"/>
  <c r="L426" i="7"/>
  <c r="A427" i="7"/>
  <c r="K427" i="7"/>
  <c r="L427" i="7"/>
  <c r="A428" i="7"/>
  <c r="K428" i="7"/>
  <c r="L428" i="7"/>
  <c r="A429" i="7"/>
  <c r="K429" i="7"/>
  <c r="L429" i="7"/>
  <c r="A430" i="7"/>
  <c r="K430" i="7"/>
  <c r="L430" i="7"/>
  <c r="A431" i="7"/>
  <c r="K431" i="7"/>
  <c r="L431" i="7"/>
  <c r="A432" i="7"/>
  <c r="K432" i="7"/>
  <c r="L432" i="7"/>
  <c r="A433" i="7"/>
  <c r="K433" i="7"/>
  <c r="L433" i="7"/>
  <c r="A434" i="7"/>
  <c r="K434" i="7"/>
  <c r="L434" i="7"/>
  <c r="A435" i="7"/>
  <c r="K435" i="7"/>
  <c r="L435" i="7"/>
  <c r="A436" i="7"/>
  <c r="K436" i="7"/>
  <c r="L436" i="7"/>
  <c r="A437" i="7"/>
  <c r="K437" i="7"/>
  <c r="L437" i="7"/>
  <c r="A438" i="7"/>
  <c r="K438" i="7"/>
  <c r="L438" i="7"/>
  <c r="A439" i="7"/>
  <c r="K439" i="7"/>
  <c r="L439" i="7"/>
  <c r="A440" i="7"/>
  <c r="K440" i="7"/>
  <c r="L440" i="7"/>
  <c r="A441" i="7"/>
  <c r="K441" i="7"/>
  <c r="L441" i="7"/>
  <c r="A442" i="7"/>
  <c r="K442" i="7"/>
  <c r="L442" i="7"/>
  <c r="A443" i="7"/>
  <c r="K443" i="7"/>
  <c r="L443" i="7"/>
  <c r="A444" i="7"/>
  <c r="K444" i="7"/>
  <c r="L444" i="7"/>
  <c r="A445" i="7"/>
  <c r="K445" i="7"/>
  <c r="L445" i="7"/>
  <c r="A446" i="7"/>
  <c r="K446" i="7"/>
  <c r="L446" i="7"/>
  <c r="A447" i="7"/>
  <c r="K447" i="7"/>
  <c r="L447" i="7"/>
  <c r="A448" i="7"/>
  <c r="K448" i="7"/>
  <c r="L448" i="7"/>
  <c r="A449" i="7"/>
  <c r="K449" i="7"/>
  <c r="L449" i="7"/>
  <c r="A450" i="7"/>
  <c r="K450" i="7"/>
  <c r="L450" i="7"/>
  <c r="A451" i="7"/>
  <c r="K451" i="7"/>
  <c r="L451" i="7"/>
  <c r="A452" i="7"/>
  <c r="K452" i="7"/>
  <c r="L452" i="7"/>
  <c r="A453" i="7"/>
  <c r="K453" i="7"/>
  <c r="L453" i="7"/>
  <c r="A454" i="7"/>
  <c r="K454" i="7"/>
  <c r="L454" i="7"/>
  <c r="A455" i="7"/>
  <c r="K455" i="7"/>
  <c r="L455" i="7"/>
  <c r="A456" i="7"/>
  <c r="K456" i="7"/>
  <c r="L456" i="7"/>
  <c r="A457" i="7"/>
  <c r="K457" i="7"/>
  <c r="L457" i="7"/>
  <c r="A458" i="7"/>
  <c r="K458" i="7"/>
  <c r="L458" i="7"/>
  <c r="A459" i="7"/>
  <c r="K459" i="7"/>
  <c r="L459" i="7"/>
  <c r="A460" i="7"/>
  <c r="K460" i="7"/>
  <c r="L460" i="7"/>
  <c r="A461" i="7"/>
  <c r="K461" i="7"/>
  <c r="L461" i="7"/>
  <c r="A462" i="7"/>
  <c r="K462" i="7"/>
  <c r="L462" i="7"/>
  <c r="A463" i="7"/>
  <c r="K463" i="7"/>
  <c r="L463" i="7"/>
  <c r="A464" i="7"/>
  <c r="K464" i="7"/>
  <c r="L464" i="7"/>
  <c r="A465" i="7"/>
  <c r="K465" i="7"/>
  <c r="L465" i="7"/>
  <c r="A466" i="7"/>
  <c r="K466" i="7"/>
  <c r="L466" i="7"/>
  <c r="A467" i="7"/>
  <c r="K467" i="7"/>
  <c r="L467" i="7"/>
  <c r="A468" i="7"/>
  <c r="K468" i="7"/>
  <c r="L468" i="7"/>
  <c r="A469" i="7"/>
  <c r="K469" i="7"/>
  <c r="L469" i="7"/>
  <c r="A470" i="7"/>
  <c r="K470" i="7"/>
  <c r="L470" i="7"/>
  <c r="A471" i="7"/>
  <c r="K471" i="7"/>
  <c r="L471" i="7"/>
  <c r="A472" i="7"/>
  <c r="K472" i="7"/>
  <c r="L472" i="7"/>
  <c r="A473" i="7"/>
  <c r="K473" i="7"/>
  <c r="L473" i="7"/>
  <c r="A474" i="7"/>
  <c r="K474" i="7"/>
  <c r="L474" i="7"/>
  <c r="A475" i="7"/>
  <c r="K475" i="7"/>
  <c r="L475" i="7"/>
  <c r="A476" i="7"/>
  <c r="K476" i="7"/>
  <c r="L476" i="7"/>
  <c r="A477" i="7"/>
  <c r="K477" i="7"/>
  <c r="L477" i="7"/>
  <c r="A478" i="7"/>
  <c r="K478" i="7"/>
  <c r="L478" i="7"/>
  <c r="A479" i="7"/>
  <c r="K479" i="7"/>
  <c r="L479" i="7"/>
  <c r="A480" i="7"/>
  <c r="K480" i="7"/>
  <c r="L480" i="7"/>
  <c r="A481" i="7"/>
  <c r="K481" i="7"/>
  <c r="L481" i="7"/>
  <c r="A482" i="7"/>
  <c r="K482" i="7"/>
  <c r="L482" i="7"/>
  <c r="A483" i="7"/>
  <c r="K483" i="7"/>
  <c r="L483" i="7"/>
  <c r="A484" i="7"/>
  <c r="K484" i="7"/>
  <c r="L484" i="7"/>
  <c r="A485" i="7"/>
  <c r="K485" i="7"/>
  <c r="L485" i="7"/>
  <c r="A486" i="7"/>
  <c r="K486" i="7"/>
  <c r="L486" i="7"/>
  <c r="A487" i="7"/>
  <c r="K487" i="7"/>
  <c r="L487" i="7"/>
  <c r="A488" i="7"/>
  <c r="K488" i="7"/>
  <c r="L488" i="7"/>
  <c r="A489" i="7"/>
  <c r="K489" i="7"/>
  <c r="L489" i="7"/>
  <c r="A490" i="7"/>
  <c r="K490" i="7"/>
  <c r="L490" i="7"/>
  <c r="A491" i="7"/>
  <c r="K491" i="7"/>
  <c r="L491" i="7"/>
  <c r="A492" i="7"/>
  <c r="K492" i="7"/>
  <c r="L492" i="7"/>
  <c r="A493" i="7"/>
  <c r="K493" i="7"/>
  <c r="L493" i="7"/>
  <c r="A494" i="7"/>
  <c r="K494" i="7"/>
  <c r="L494" i="7"/>
  <c r="A495" i="7"/>
  <c r="K495" i="7"/>
  <c r="L495" i="7"/>
  <c r="A496" i="7"/>
  <c r="K496" i="7"/>
  <c r="L496" i="7"/>
  <c r="A497" i="7"/>
  <c r="K497" i="7"/>
  <c r="L497" i="7"/>
  <c r="A498" i="7"/>
  <c r="K498" i="7"/>
  <c r="L498" i="7"/>
  <c r="A499" i="7"/>
  <c r="K499" i="7"/>
  <c r="L499" i="7"/>
  <c r="A500" i="7"/>
  <c r="K500" i="7"/>
  <c r="L500" i="7"/>
  <c r="A501" i="7"/>
  <c r="K501" i="7"/>
  <c r="L501" i="7"/>
  <c r="A502" i="7"/>
  <c r="K502" i="7"/>
  <c r="L502" i="7"/>
  <c r="A503" i="7"/>
  <c r="K503" i="7"/>
  <c r="L503" i="7"/>
  <c r="A504" i="7"/>
  <c r="K504" i="7"/>
  <c r="L504" i="7"/>
  <c r="A505" i="7"/>
  <c r="K505" i="7"/>
  <c r="L505" i="7"/>
  <c r="A506" i="7"/>
  <c r="K506" i="7"/>
  <c r="L506" i="7"/>
  <c r="A507" i="7"/>
  <c r="K507" i="7"/>
  <c r="A508" i="7"/>
  <c r="K508" i="7"/>
  <c r="L508" i="7"/>
  <c r="A509" i="7"/>
  <c r="K509" i="7"/>
  <c r="L509" i="7"/>
  <c r="A510" i="7"/>
  <c r="K510" i="7"/>
  <c r="L510" i="7"/>
  <c r="A511" i="7"/>
  <c r="K511" i="7"/>
  <c r="L511" i="7"/>
  <c r="A512" i="7"/>
  <c r="K512" i="7"/>
  <c r="L512" i="7"/>
  <c r="A513" i="7"/>
  <c r="K513" i="7"/>
  <c r="L513" i="7"/>
  <c r="A514" i="7"/>
  <c r="K514" i="7"/>
  <c r="L514" i="7"/>
  <c r="A515" i="7"/>
  <c r="K515" i="7"/>
  <c r="L515" i="7"/>
  <c r="A516" i="7"/>
  <c r="K516" i="7"/>
  <c r="L516" i="7"/>
  <c r="A517" i="7"/>
  <c r="K517" i="7"/>
  <c r="L517" i="7"/>
  <c r="A518" i="7"/>
  <c r="K518" i="7"/>
  <c r="L518" i="7"/>
  <c r="A519" i="7"/>
  <c r="K519" i="7"/>
  <c r="L519" i="7"/>
  <c r="A520" i="7"/>
  <c r="K520" i="7"/>
  <c r="L520" i="7"/>
  <c r="A521" i="7"/>
  <c r="K521" i="7"/>
  <c r="L521" i="7"/>
  <c r="A522" i="7"/>
  <c r="K522" i="7"/>
  <c r="L522" i="7"/>
  <c r="A523" i="7"/>
  <c r="K523" i="7"/>
  <c r="L523" i="7"/>
  <c r="A524" i="7"/>
  <c r="K524" i="7"/>
  <c r="L524" i="7"/>
  <c r="A525" i="7"/>
  <c r="K525" i="7"/>
  <c r="L525" i="7"/>
  <c r="A526" i="7"/>
  <c r="K526" i="7"/>
  <c r="L526" i="7"/>
  <c r="A527" i="7"/>
  <c r="K527" i="7"/>
  <c r="L527" i="7"/>
  <c r="A528" i="7"/>
  <c r="K528" i="7"/>
  <c r="L528" i="7"/>
  <c r="A529" i="7"/>
  <c r="K529" i="7"/>
  <c r="L529" i="7"/>
  <c r="A530" i="7"/>
  <c r="K530" i="7"/>
  <c r="L530" i="7"/>
  <c r="A531" i="7"/>
  <c r="K531" i="7"/>
  <c r="L531" i="7"/>
  <c r="A532" i="7"/>
  <c r="K532" i="7"/>
  <c r="L532" i="7"/>
  <c r="A533" i="7"/>
  <c r="K533" i="7"/>
  <c r="L533" i="7"/>
  <c r="A534" i="7"/>
  <c r="K534" i="7"/>
  <c r="L534" i="7"/>
  <c r="A535" i="7"/>
  <c r="K535" i="7"/>
  <c r="L535" i="7"/>
  <c r="A536" i="7"/>
  <c r="K536" i="7"/>
  <c r="L536" i="7"/>
  <c r="A537" i="7"/>
  <c r="K537" i="7"/>
  <c r="L537" i="7"/>
  <c r="A538" i="7"/>
  <c r="K538" i="7"/>
  <c r="L538" i="7"/>
  <c r="A539" i="7"/>
  <c r="K539" i="7"/>
  <c r="L539" i="7"/>
  <c r="A540" i="7"/>
  <c r="K540" i="7"/>
  <c r="L540" i="7"/>
  <c r="A541" i="7"/>
  <c r="K541" i="7"/>
  <c r="L541" i="7"/>
  <c r="A542" i="7"/>
  <c r="K542" i="7"/>
  <c r="L542" i="7"/>
  <c r="A543" i="7"/>
  <c r="K543" i="7"/>
  <c r="L543" i="7"/>
  <c r="A544" i="7"/>
  <c r="K544" i="7"/>
  <c r="L544" i="7"/>
  <c r="A545" i="7"/>
  <c r="K545" i="7"/>
  <c r="L545" i="7"/>
  <c r="A546" i="7"/>
  <c r="K546" i="7"/>
  <c r="L546" i="7"/>
  <c r="A547" i="7"/>
  <c r="K547" i="7"/>
  <c r="L547" i="7"/>
  <c r="A548" i="7"/>
  <c r="K548" i="7"/>
  <c r="L548" i="7"/>
  <c r="A549" i="7"/>
  <c r="K549" i="7"/>
  <c r="L549" i="7"/>
  <c r="A550" i="7"/>
  <c r="K550" i="7"/>
  <c r="L550" i="7"/>
  <c r="A551" i="7"/>
  <c r="K551" i="7"/>
  <c r="L551" i="7"/>
  <c r="A552" i="7"/>
  <c r="K552" i="7"/>
  <c r="L552" i="7"/>
  <c r="A553" i="7"/>
  <c r="K553" i="7"/>
  <c r="L553" i="7"/>
  <c r="A554" i="7"/>
  <c r="K554" i="7"/>
  <c r="L554" i="7"/>
  <c r="A555" i="7"/>
  <c r="K555" i="7"/>
  <c r="L555" i="7"/>
  <c r="A556" i="7"/>
  <c r="K556" i="7"/>
  <c r="L556" i="7"/>
  <c r="A557" i="7"/>
  <c r="K557" i="7"/>
  <c r="L557" i="7"/>
  <c r="A558" i="7"/>
  <c r="K558" i="7"/>
  <c r="L558" i="7"/>
  <c r="A559" i="7"/>
  <c r="K559" i="7"/>
  <c r="L559" i="7"/>
  <c r="A560" i="7"/>
  <c r="K560" i="7"/>
  <c r="L560" i="7"/>
  <c r="A561" i="7"/>
  <c r="K561" i="7"/>
  <c r="L561" i="7"/>
  <c r="A562" i="7"/>
  <c r="K562" i="7"/>
  <c r="L562" i="7"/>
  <c r="A563" i="7"/>
  <c r="K563" i="7"/>
  <c r="L563" i="7"/>
  <c r="A564" i="7"/>
  <c r="K564" i="7"/>
  <c r="L564" i="7"/>
  <c r="A565" i="7"/>
  <c r="K565" i="7"/>
  <c r="L565" i="7"/>
  <c r="A566" i="7"/>
  <c r="K566" i="7"/>
  <c r="L566" i="7"/>
  <c r="A567" i="7"/>
  <c r="K567" i="7"/>
  <c r="L567" i="7"/>
  <c r="A568" i="7"/>
  <c r="K568" i="7"/>
  <c r="L568" i="7"/>
  <c r="A569" i="7"/>
  <c r="K569" i="7"/>
  <c r="L569" i="7"/>
  <c r="A570" i="7"/>
  <c r="K570" i="7"/>
  <c r="L570" i="7"/>
  <c r="A571" i="7"/>
  <c r="K571" i="7"/>
  <c r="L571" i="7"/>
  <c r="A572" i="7"/>
  <c r="K572" i="7"/>
  <c r="L572" i="7"/>
  <c r="A573" i="7"/>
  <c r="K573" i="7"/>
  <c r="L573" i="7"/>
  <c r="A574" i="7"/>
  <c r="K574" i="7"/>
  <c r="L574" i="7"/>
  <c r="A575" i="7"/>
  <c r="K575" i="7"/>
  <c r="L575" i="7"/>
  <c r="A576" i="7"/>
  <c r="K576" i="7"/>
  <c r="L576" i="7"/>
  <c r="A577" i="7"/>
  <c r="K577" i="7"/>
  <c r="L577" i="7"/>
  <c r="A578" i="7"/>
  <c r="K578" i="7"/>
  <c r="L578" i="7"/>
  <c r="A579" i="7"/>
  <c r="K579" i="7"/>
  <c r="L579" i="7"/>
  <c r="A580" i="7"/>
  <c r="K580" i="7"/>
  <c r="L580" i="7"/>
  <c r="A581" i="7"/>
  <c r="K581" i="7"/>
  <c r="L581" i="7"/>
  <c r="A582" i="7"/>
  <c r="K582" i="7"/>
  <c r="L582" i="7"/>
  <c r="K583" i="7"/>
  <c r="L583" i="7"/>
  <c r="A584" i="7"/>
  <c r="K584" i="7"/>
  <c r="L584" i="7"/>
  <c r="A585" i="7"/>
  <c r="K585" i="7"/>
  <c r="L585" i="7"/>
  <c r="A586" i="7"/>
  <c r="K586" i="7"/>
  <c r="L586" i="7"/>
  <c r="K587" i="7"/>
  <c r="L587" i="7"/>
  <c r="L588" i="7"/>
  <c r="A589" i="7"/>
  <c r="K589" i="7"/>
  <c r="L589" i="7"/>
  <c r="A590" i="7"/>
  <c r="K590" i="7"/>
  <c r="L590" i="7"/>
  <c r="G685" i="7"/>
  <c r="C8" i="6" s="1"/>
  <c r="H685" i="7"/>
  <c r="I497" i="7" l="1"/>
  <c r="I498" i="7" s="1"/>
  <c r="I499" i="7" s="1"/>
  <c r="I500" i="7" s="1"/>
  <c r="I501" i="7" s="1"/>
  <c r="I502" i="7" s="1"/>
  <c r="I503" i="7" s="1"/>
  <c r="I504" i="7" s="1"/>
  <c r="I505" i="7" s="1"/>
  <c r="I506" i="7" s="1"/>
  <c r="I507" i="7" s="1"/>
  <c r="I508" i="7" s="1"/>
  <c r="I509" i="7" s="1"/>
  <c r="I510" i="7" s="1"/>
  <c r="I511" i="7" s="1"/>
  <c r="I512" i="7" s="1"/>
  <c r="I513" i="7" s="1"/>
  <c r="I514" i="7" s="1"/>
  <c r="I515" i="7" s="1"/>
  <c r="I516" i="7" s="1"/>
  <c r="I517" i="7" s="1"/>
  <c r="I518" i="7" s="1"/>
  <c r="I519" i="7" s="1"/>
  <c r="I520" i="7" s="1"/>
  <c r="I521" i="7" s="1"/>
  <c r="I522" i="7" s="1"/>
  <c r="I523" i="7" s="1"/>
  <c r="I524" i="7" s="1"/>
  <c r="I525" i="7" s="1"/>
  <c r="I526" i="7" s="1"/>
  <c r="I527" i="7" s="1"/>
  <c r="I528" i="7" s="1"/>
  <c r="I529" i="7" s="1"/>
  <c r="I530" i="7" s="1"/>
  <c r="I531" i="7" s="1"/>
  <c r="I532" i="7" s="1"/>
  <c r="I533" i="7" s="1"/>
  <c r="I534" i="7" s="1"/>
  <c r="I535" i="7" s="1"/>
  <c r="I536" i="7" s="1"/>
  <c r="I537" i="7" s="1"/>
  <c r="I538" i="7" s="1"/>
  <c r="I539" i="7" s="1"/>
  <c r="I540" i="7" s="1"/>
  <c r="I541" i="7" s="1"/>
  <c r="I542" i="7" s="1"/>
  <c r="I543" i="7" s="1"/>
  <c r="I544" i="7" s="1"/>
  <c r="I545" i="7" s="1"/>
  <c r="I546" i="7" s="1"/>
  <c r="I547" i="7" s="1"/>
  <c r="I548" i="7" s="1"/>
  <c r="I549" i="7" s="1"/>
  <c r="I550" i="7" s="1"/>
  <c r="I551" i="7" s="1"/>
  <c r="I552" i="7" s="1"/>
  <c r="I553" i="7" s="1"/>
  <c r="I554" i="7" s="1"/>
  <c r="I555" i="7" s="1"/>
  <c r="I556" i="7" s="1"/>
  <c r="I557" i="7" s="1"/>
  <c r="I558" i="7" s="1"/>
  <c r="I559" i="7" s="1"/>
  <c r="I560" i="7" s="1"/>
  <c r="I561" i="7" s="1"/>
  <c r="I562" i="7" s="1"/>
  <c r="I563" i="7" s="1"/>
  <c r="I564" i="7" s="1"/>
  <c r="I565" i="7" s="1"/>
  <c r="I566" i="7" s="1"/>
  <c r="I567" i="7" s="1"/>
  <c r="I568" i="7" s="1"/>
  <c r="G686" i="7"/>
  <c r="K685" i="7"/>
  <c r="C10" i="6" s="1"/>
  <c r="L685" i="7"/>
  <c r="C9" i="6"/>
  <c r="C7" i="6"/>
  <c r="C11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PT.GAS</author>
  </authors>
  <commentList>
    <comment ref="B13" authorId="0" shapeId="0" xr:uid="{3CAB41BB-E485-48B1-9843-E7B17AE904DE}">
      <text>
        <r>
          <rPr>
            <b/>
            <sz val="9"/>
            <color indexed="81"/>
            <rFont val="Tahoma"/>
            <charset val="1"/>
          </rPr>
          <t>PT.GAS:</t>
        </r>
        <r>
          <rPr>
            <sz val="9"/>
            <color indexed="81"/>
            <rFont val="Tahoma"/>
            <charset val="1"/>
          </rPr>
          <t xml:space="preserve">
Dikoreksi dari 'GREDER' agar cocok dengan ejaan No Lambung 'GRADER' yang dipakai di sheet HM, sehingga rekap per unit di REKAP!C33 ikut menghitung jam HM alat ini.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PT.GAS</author>
  </authors>
  <commentList>
    <comment ref="G685" authorId="0" shapeId="0" xr:uid="{1639F37D-0D2E-4E4B-819D-D797D813B359}">
      <text>
        <r>
          <rPr>
            <b/>
            <sz val="9"/>
            <color indexed="81"/>
            <rFont val="Tahoma"/>
            <charset val="1"/>
          </rPr>
          <t>PT.GAS:</t>
        </r>
        <r>
          <rPr>
            <sz val="9"/>
            <color indexed="81"/>
            <rFont val="Tahoma"/>
            <charset val="1"/>
          </rPr>
          <t xml:space="preserve">
SUBTOTAL(109,...) = SUM yang mengabaikan baris hidden/filter.</t>
        </r>
      </text>
    </comment>
  </commentList>
</comments>
</file>

<file path=xl/sharedStrings.xml><?xml version="1.0" encoding="utf-8"?>
<sst xmlns="http://schemas.openxmlformats.org/spreadsheetml/2006/main" count="3025" uniqueCount="472">
  <si>
    <t>MASTER DATA &amp; ASUMSI — isi sel kuning terlebih dahulu</t>
  </si>
  <si>
    <t>Nama Perusahaan</t>
  </si>
  <si>
    <t>Muncul di judul laporan.</t>
  </si>
  <si>
    <t>Periode Pencatatan</t>
  </si>
  <si>
    <t>Agustus 2026</t>
  </si>
  <si>
    <t>Format: Bulan Tahun.</t>
  </si>
  <si>
    <t>DAFTAR ALAT / UNIT</t>
  </si>
  <si>
    <t>No Lambung</t>
  </si>
  <si>
    <t>Tipe Alat</t>
  </si>
  <si>
    <t>Vendor</t>
  </si>
  <si>
    <t>Kapasitas Tangki (Ltr)</t>
  </si>
  <si>
    <t>Status</t>
  </si>
  <si>
    <t>Aktif</t>
  </si>
  <si>
    <t>Catatan: baris di atas adalah CONTOH. Ganti dengan daftar alat sebenarnya. Penulisan No Lambung di sheet HM dan BBM harus persis sama dengan daftar ini agar rekap otomatis akurat.</t>
  </si>
  <si>
    <t>TANGGAL</t>
  </si>
  <si>
    <t>KETERANGAN</t>
  </si>
  <si>
    <t>TOTAL</t>
  </si>
  <si>
    <t>BULAN</t>
  </si>
  <si>
    <t>REKAP OTOMATIS — RINGKASAN UNTUK LAPORAN KE ATASAN</t>
  </si>
  <si>
    <t>Stok Awal BBM (Liter)</t>
  </si>
  <si>
    <t>Total BBM Masuk (Liter)</t>
  </si>
  <si>
    <t>Total BBM Keluar (Liter)</t>
  </si>
  <si>
    <t>Sisa Stok BBM (Liter)</t>
  </si>
  <si>
    <t>Harga BBM (Rp/Liter)</t>
  </si>
  <si>
    <t>Total Biaya BBM Terpakai (Rp)</t>
  </si>
  <si>
    <t>Fuel Ratio Rata-rata (Ltr/HM)</t>
  </si>
  <si>
    <t>PT GEMBIRA ANGGUN SETIA</t>
  </si>
  <si>
    <t>BOMAG</t>
  </si>
  <si>
    <t>EXCA GAS 001</t>
  </si>
  <si>
    <t>GAS 006</t>
  </si>
  <si>
    <t>GREDER</t>
  </si>
  <si>
    <t>KOBELCO LONG ARM</t>
  </si>
  <si>
    <t>KOMATSU</t>
  </si>
  <si>
    <t>LODER</t>
  </si>
  <si>
    <t>SDLG</t>
  </si>
  <si>
    <t>VIBRO/BOMAG</t>
  </si>
  <si>
    <t>XCMG</t>
  </si>
  <si>
    <t>EXCA SDLG PC 200</t>
  </si>
  <si>
    <t>EXCA XCMG PC 200</t>
  </si>
  <si>
    <t>EXCAVATOR XCMG PC 200</t>
  </si>
  <si>
    <t>GREADER</t>
  </si>
  <si>
    <t>LOADER</t>
  </si>
  <si>
    <t>PC 200</t>
  </si>
  <si>
    <t>VIBRO</t>
  </si>
  <si>
    <t>PT GAS</t>
  </si>
  <si>
    <t>PC 300</t>
  </si>
  <si>
    <t>LONG ARM</t>
  </si>
  <si>
    <t>COST / ALAT</t>
  </si>
  <si>
    <t>GRADER</t>
  </si>
  <si>
    <t>ANDI JUMRIN</t>
  </si>
  <si>
    <t>AKBAR</t>
  </si>
  <si>
    <t>ANDIKA</t>
  </si>
  <si>
    <t>HARDI</t>
  </si>
  <si>
    <t>MAINTENANCE JALAN</t>
  </si>
  <si>
    <t>LOADING ORE</t>
  </si>
  <si>
    <t>SISA STOK AKHIR (LTR)</t>
  </si>
  <si>
    <t>STOCKPILE</t>
  </si>
  <si>
    <t>ALAT STOCKPILE</t>
  </si>
  <si>
    <t>ISNAN</t>
  </si>
  <si>
    <t>JETTY</t>
  </si>
  <si>
    <t>WORKSHOP</t>
  </si>
  <si>
    <t>BBM MASUK</t>
  </si>
  <si>
    <t>DANI</t>
  </si>
  <si>
    <t>JETTY AMI</t>
  </si>
  <si>
    <t>RONALD</t>
  </si>
  <si>
    <t>PERUSDA</t>
  </si>
  <si>
    <t>PENGEMBALIAN BBM DARI PERUSDA</t>
  </si>
  <si>
    <t>SUMITOMO</t>
  </si>
  <si>
    <t>FIRMAN</t>
  </si>
  <si>
    <t>A.JUMRIN</t>
  </si>
  <si>
    <t>ISRA</t>
  </si>
  <si>
    <t>PEMAKAIAN BBM</t>
  </si>
  <si>
    <t>LV</t>
  </si>
  <si>
    <t>IRGI</t>
  </si>
  <si>
    <t>PEMAKAIAN KANTOR/TAMU</t>
  </si>
  <si>
    <t>OPERASIONAL</t>
  </si>
  <si>
    <t xml:space="preserve">RAHMAT AKAR </t>
  </si>
  <si>
    <t>HERI</t>
  </si>
  <si>
    <t>TANGKI BBM</t>
  </si>
  <si>
    <t>PENGEMBALIAN BBM PRUSDA</t>
  </si>
  <si>
    <t>AHMAD FAUZI</t>
  </si>
  <si>
    <t>BBM TUMPAH</t>
  </si>
  <si>
    <t>DEDEN</t>
  </si>
  <si>
    <t>LIAS</t>
  </si>
  <si>
    <t>ICAL</t>
  </si>
  <si>
    <t>JUMA</t>
  </si>
  <si>
    <t>RIDWAN</t>
  </si>
  <si>
    <t>AKAR MAS</t>
  </si>
  <si>
    <t>LV RAHMAT AKAR MAS</t>
  </si>
  <si>
    <t>HENDRA</t>
  </si>
  <si>
    <t>SABRI</t>
  </si>
  <si>
    <t xml:space="preserve">KOMATSU </t>
  </si>
  <si>
    <t>LV OPERASIONAL</t>
  </si>
  <si>
    <t>SAIWAN</t>
  </si>
  <si>
    <t>SEDOT BBM DARI LIUOGONG</t>
  </si>
  <si>
    <t>LOST</t>
  </si>
  <si>
    <t>BBM HILANG/BOCOR</t>
  </si>
  <si>
    <t>TOWER LAMP</t>
  </si>
  <si>
    <t>KOMATSU 010</t>
  </si>
  <si>
    <t>ARDI</t>
  </si>
  <si>
    <t>MARZUKI</t>
  </si>
  <si>
    <t>KONTROL MAINTENANCE</t>
  </si>
  <si>
    <t xml:space="preserve">TAMBAHAN ALAT DARI HITACHI </t>
  </si>
  <si>
    <t>KOMATSU 008</t>
  </si>
  <si>
    <t>KOMATSU 007</t>
  </si>
  <si>
    <t>KOBELCO</t>
  </si>
  <si>
    <t>IKRA</t>
  </si>
  <si>
    <t>HITACHI</t>
  </si>
  <si>
    <t>RIKY</t>
  </si>
  <si>
    <t>LIUGONG 005</t>
  </si>
  <si>
    <t>RAHMAT</t>
  </si>
  <si>
    <t>HARDIMAN</t>
  </si>
  <si>
    <t>STOCKPILE PSI</t>
  </si>
  <si>
    <t>LD IZHAR</t>
  </si>
  <si>
    <t>HERY</t>
  </si>
  <si>
    <t>LIUGONG 022</t>
  </si>
  <si>
    <t>RUDI</t>
  </si>
  <si>
    <t>HITACHI PC 300 STP</t>
  </si>
  <si>
    <t>HITACHI STP</t>
  </si>
  <si>
    <t>IZHAR</t>
  </si>
  <si>
    <t>KOMATSU PC 200 &amp; SDLG</t>
  </si>
  <si>
    <t>SANY</t>
  </si>
  <si>
    <t>OPERASIONAL SECURITY</t>
  </si>
  <si>
    <t>HARDIMANTO</t>
  </si>
  <si>
    <t>LIUGONG</t>
  </si>
  <si>
    <t>LV DT 8429</t>
  </si>
  <si>
    <t>LV 08</t>
  </si>
  <si>
    <t>DEDE</t>
  </si>
  <si>
    <t>KOMATSU/XCMG</t>
  </si>
  <si>
    <t>JUNAEDI</t>
  </si>
  <si>
    <t>EDI/FIRMAN</t>
  </si>
  <si>
    <t>ILHAM</t>
  </si>
  <si>
    <t>HITACHI GAS 003</t>
  </si>
  <si>
    <t>WIDI</t>
  </si>
  <si>
    <t>ASWAR/FAJAR</t>
  </si>
  <si>
    <t>EXCA HITACHI GAS 003</t>
  </si>
  <si>
    <t>RIKI</t>
  </si>
  <si>
    <t>EXCA LIUGONG 005</t>
  </si>
  <si>
    <t>EXCA HITACI 03</t>
  </si>
  <si>
    <t xml:space="preserve">RAHMAT </t>
  </si>
  <si>
    <t>EXCA 001 XCMG GAS</t>
  </si>
  <si>
    <t>MUAT ORE</t>
  </si>
  <si>
    <t>DT 422 MERCI</t>
  </si>
  <si>
    <t>BASRI</t>
  </si>
  <si>
    <t>DT 143 MERCI</t>
  </si>
  <si>
    <t>AL MUHAJIRIN</t>
  </si>
  <si>
    <t>ANGGA/FAJAR</t>
  </si>
  <si>
    <t>SUKARDI</t>
  </si>
  <si>
    <t>SALDI</t>
  </si>
  <si>
    <t>LIUGONG PT GAS 005</t>
  </si>
  <si>
    <t>LUKMAN</t>
  </si>
  <si>
    <t>DT HINO 121</t>
  </si>
  <si>
    <t>ARJUN</t>
  </si>
  <si>
    <t>DT HINO 2090</t>
  </si>
  <si>
    <t>AKIL</t>
  </si>
  <si>
    <t>PT SRI</t>
  </si>
  <si>
    <t>KOBELKO SK - 27</t>
  </si>
  <si>
    <t>CV MKM</t>
  </si>
  <si>
    <t>BARGING</t>
  </si>
  <si>
    <t>NUNUNG</t>
  </si>
  <si>
    <t>DIKA</t>
  </si>
  <si>
    <t>XCMG GAS -02</t>
  </si>
  <si>
    <t>GAS - 005 (LIUGONG)</t>
  </si>
  <si>
    <t>DT HINO 120</t>
  </si>
  <si>
    <t>ALDY</t>
  </si>
  <si>
    <t>DT HINO 118</t>
  </si>
  <si>
    <t>PT CMM</t>
  </si>
  <si>
    <t>ZOOMLION 05</t>
  </si>
  <si>
    <t>MUH ISWAN</t>
  </si>
  <si>
    <t>DEVELON (300) 22</t>
  </si>
  <si>
    <t>ANCA</t>
  </si>
  <si>
    <t>HYUNDAI (300) 03</t>
  </si>
  <si>
    <t>MULYONO</t>
  </si>
  <si>
    <t>016 PC 200 LIUGONG</t>
  </si>
  <si>
    <t>HENDAR</t>
  </si>
  <si>
    <t>DT FUSO 49</t>
  </si>
  <si>
    <t>DARMIN</t>
  </si>
  <si>
    <t>DT FUSO 48</t>
  </si>
  <si>
    <t>FAREL</t>
  </si>
  <si>
    <t>DT FUSO 46</t>
  </si>
  <si>
    <t>KASRAN</t>
  </si>
  <si>
    <t>DT FUSO 59</t>
  </si>
  <si>
    <t>RIAN</t>
  </si>
  <si>
    <t>DT FUSO 50</t>
  </si>
  <si>
    <t>AKSAN</t>
  </si>
  <si>
    <t>NURHASIM</t>
  </si>
  <si>
    <t>PT SRI DC 8021 AT 210</t>
  </si>
  <si>
    <t>RAWIS</t>
  </si>
  <si>
    <t>KONTROL DT</t>
  </si>
  <si>
    <t>SRI KOMATSU</t>
  </si>
  <si>
    <t>AZLAM</t>
  </si>
  <si>
    <t>02 DT MERCI</t>
  </si>
  <si>
    <t>MADE SUDANA</t>
  </si>
  <si>
    <t>EMIL</t>
  </si>
  <si>
    <t>04 DT HINO</t>
  </si>
  <si>
    <t>DENDI</t>
  </si>
  <si>
    <t>DOOSAN 25</t>
  </si>
  <si>
    <t>LUKAS</t>
  </si>
  <si>
    <t>019 PC 200 LIUGONG</t>
  </si>
  <si>
    <t>RIDHO</t>
  </si>
  <si>
    <t>017 PC 200 LIUGONG</t>
  </si>
  <si>
    <t>05 DT HINO</t>
  </si>
  <si>
    <t>KADEK</t>
  </si>
  <si>
    <t>DT HINO 141</t>
  </si>
  <si>
    <t>NYONG</t>
  </si>
  <si>
    <t>DT HINO 139</t>
  </si>
  <si>
    <t>IRWAN</t>
  </si>
  <si>
    <t>DT HINO 140</t>
  </si>
  <si>
    <t>ASDAR</t>
  </si>
  <si>
    <t>RISAL BAS NAPAL</t>
  </si>
  <si>
    <t>DT HOWO 007</t>
  </si>
  <si>
    <t>SAMSUL</t>
  </si>
  <si>
    <t>DT HOWO 009</t>
  </si>
  <si>
    <t>ZUL</t>
  </si>
  <si>
    <t>DT SRI 58</t>
  </si>
  <si>
    <t>IKAL</t>
  </si>
  <si>
    <t>DT SRI 48</t>
  </si>
  <si>
    <t>THOMAS</t>
  </si>
  <si>
    <t>DT SRI 51</t>
  </si>
  <si>
    <t>RAHMAN</t>
  </si>
  <si>
    <t>DT SRI 49</t>
  </si>
  <si>
    <t>DT SRI 45</t>
  </si>
  <si>
    <t>DT SRI 59</t>
  </si>
  <si>
    <t>PAKING</t>
  </si>
  <si>
    <t>DT SRI 42</t>
  </si>
  <si>
    <t>AFDAL</t>
  </si>
  <si>
    <t>DT SRI 52</t>
  </si>
  <si>
    <t>DT SRI 46</t>
  </si>
  <si>
    <t>KESRAN</t>
  </si>
  <si>
    <t>RUNI</t>
  </si>
  <si>
    <t>DT HINO 123</t>
  </si>
  <si>
    <t>AMIRULLA</t>
  </si>
  <si>
    <t>ACO</t>
  </si>
  <si>
    <t>HYUNDAI (P) 01</t>
  </si>
  <si>
    <t>SANDRI</t>
  </si>
  <si>
    <t>DIKY.S</t>
  </si>
  <si>
    <t>HYUNDAI (P) 02</t>
  </si>
  <si>
    <t>RISMAN</t>
  </si>
  <si>
    <t>SDLG/02</t>
  </si>
  <si>
    <t>HITACHI 022</t>
  </si>
  <si>
    <t>HITACHI MMS 017</t>
  </si>
  <si>
    <t>HITACHI MMS 032</t>
  </si>
  <si>
    <t>DT HOWO 002</t>
  </si>
  <si>
    <t>RANDI</t>
  </si>
  <si>
    <t>06 DT HINO</t>
  </si>
  <si>
    <t>MENTERI AGAMA</t>
  </si>
  <si>
    <t>XCMG B 9427 XGY</t>
  </si>
  <si>
    <t>IRVAN</t>
  </si>
  <si>
    <t>DT FUSO 51</t>
  </si>
  <si>
    <t>DT FUSI 58</t>
  </si>
  <si>
    <t>MUH YUSRIL</t>
  </si>
  <si>
    <t>DT FUSO 42</t>
  </si>
  <si>
    <t>TEDY</t>
  </si>
  <si>
    <t>RION</t>
  </si>
  <si>
    <t>DT FUSO 45</t>
  </si>
  <si>
    <t>PT SRI LV</t>
  </si>
  <si>
    <t>HERDIN</t>
  </si>
  <si>
    <t>07 DT HINO</t>
  </si>
  <si>
    <t>ARDIANSYAH</t>
  </si>
  <si>
    <t>014 PC 200 LIUGONG</t>
  </si>
  <si>
    <t>DEVELON 300</t>
  </si>
  <si>
    <t>ISUZU 026</t>
  </si>
  <si>
    <t>FADEL</t>
  </si>
  <si>
    <t>ERWIN</t>
  </si>
  <si>
    <t>HYUNDAI 10</t>
  </si>
  <si>
    <t>PIKRAM</t>
  </si>
  <si>
    <t>PEMAKAIAN HAJI</t>
  </si>
  <si>
    <t>DT HINO 3/4</t>
  </si>
  <si>
    <t>SRI PAJERO</t>
  </si>
  <si>
    <t xml:space="preserve">PC 300 DEVELON </t>
  </si>
  <si>
    <t>PC 300 HYUNDAI</t>
  </si>
  <si>
    <t>PC 200 HYUNDAI P (02)</t>
  </si>
  <si>
    <t>MAINTANANCE JETTY</t>
  </si>
  <si>
    <t>BOOMAK</t>
  </si>
  <si>
    <t>UDDIN</t>
  </si>
  <si>
    <t>ADRIANTO</t>
  </si>
  <si>
    <t>MENGISI BBM</t>
  </si>
  <si>
    <t>HINO BBM</t>
  </si>
  <si>
    <t xml:space="preserve">ARDI </t>
  </si>
  <si>
    <t>PC 300 ZOOMLION 05</t>
  </si>
  <si>
    <t>ADID CHR</t>
  </si>
  <si>
    <t>DT FUSO 58</t>
  </si>
  <si>
    <t>PC 200 HYUNDAI P (01)</t>
  </si>
  <si>
    <t xml:space="preserve">RIDHO </t>
  </si>
  <si>
    <t>PC 200 DOOSAN 25</t>
  </si>
  <si>
    <t>PC 200 HYUNDAI 010</t>
  </si>
  <si>
    <t>FADLI</t>
  </si>
  <si>
    <t>DT FUSO 43</t>
  </si>
  <si>
    <t>DT FUSO 52</t>
  </si>
  <si>
    <t>NUR HASIM</t>
  </si>
  <si>
    <t>AKMAL</t>
  </si>
  <si>
    <t>PC 300 SANY</t>
  </si>
  <si>
    <t>ODEX</t>
  </si>
  <si>
    <t>YOSEP SONI. B</t>
  </si>
  <si>
    <t>XCMG B 9423</t>
  </si>
  <si>
    <t>ALVI</t>
  </si>
  <si>
    <t>KOMATSU 29</t>
  </si>
  <si>
    <t>DOX</t>
  </si>
  <si>
    <t>DT HOWO 04</t>
  </si>
  <si>
    <t>RAHUL</t>
  </si>
  <si>
    <t>DT HOWO 02</t>
  </si>
  <si>
    <t>BAMBI</t>
  </si>
  <si>
    <t>DT HOWO 07</t>
  </si>
  <si>
    <t>TEDDY</t>
  </si>
  <si>
    <t>DT FUSO 44</t>
  </si>
  <si>
    <t>KESKAN</t>
  </si>
  <si>
    <t>DEVELON 300 22</t>
  </si>
  <si>
    <t>RAHIM</t>
  </si>
  <si>
    <t>DOOSAN</t>
  </si>
  <si>
    <t>HYUNDAI P (02)</t>
  </si>
  <si>
    <t>HYUNDAI P (01)</t>
  </si>
  <si>
    <t>TEDI</t>
  </si>
  <si>
    <t>DES</t>
  </si>
  <si>
    <t xml:space="preserve">DT SRI 46 </t>
  </si>
  <si>
    <t>HYUNDAI P 02</t>
  </si>
  <si>
    <t>PC 300 DEVELON</t>
  </si>
  <si>
    <t>PC 300 ZOOMLION</t>
  </si>
  <si>
    <t>DIKI</t>
  </si>
  <si>
    <t>HYUNDAI 300 03</t>
  </si>
  <si>
    <t>HYUNDAI P 01</t>
  </si>
  <si>
    <t>018 PC 200 LIUGONG</t>
  </si>
  <si>
    <t>ENDAR</t>
  </si>
  <si>
    <t>PERBAIKI JALAN</t>
  </si>
  <si>
    <t>RIRIN</t>
  </si>
  <si>
    <t>SRI HILUX</t>
  </si>
  <si>
    <t>DT SRI 43</t>
  </si>
  <si>
    <t>DT SRI 57</t>
  </si>
  <si>
    <t>DIMAS</t>
  </si>
  <si>
    <t xml:space="preserve">HYUNDAI 300 </t>
  </si>
  <si>
    <t>PERBAIKI ALAT</t>
  </si>
  <si>
    <t>LV MEKANIK</t>
  </si>
  <si>
    <t>ADI</t>
  </si>
  <si>
    <t>DT SRI 50</t>
  </si>
  <si>
    <t>HASIM</t>
  </si>
  <si>
    <t>25 DOOSAN</t>
  </si>
  <si>
    <t>010 HYUNDAI</t>
  </si>
  <si>
    <t>XCMG B9424XGY</t>
  </si>
  <si>
    <t>MUH NURYAMIN</t>
  </si>
  <si>
    <t>XCMG B9427XGY</t>
  </si>
  <si>
    <t>XCMG B9423 XGY</t>
  </si>
  <si>
    <t>ALIN</t>
  </si>
  <si>
    <t>DT 48 SRI</t>
  </si>
  <si>
    <t>DT 42 SRI</t>
  </si>
  <si>
    <t>DT 59 SRI</t>
  </si>
  <si>
    <t>DT 46 SRI</t>
  </si>
  <si>
    <t>DT 50 SRI</t>
  </si>
  <si>
    <t>SONIL</t>
  </si>
  <si>
    <t>LOADING KUARSA</t>
  </si>
  <si>
    <t>HYUNDAI P 03</t>
  </si>
  <si>
    <t>PERBAIKAN JALAN</t>
  </si>
  <si>
    <t>LARAHIMU</t>
  </si>
  <si>
    <t>PENYIRAMAN</t>
  </si>
  <si>
    <t>3/4 HINO</t>
  </si>
  <si>
    <t>MUAT ALAT</t>
  </si>
  <si>
    <t>TRONTON</t>
  </si>
  <si>
    <t>WARDIKE</t>
  </si>
  <si>
    <t>MUAT KUARSA</t>
  </si>
  <si>
    <t>ENAL</t>
  </si>
  <si>
    <t>AKSAR</t>
  </si>
  <si>
    <t>DT FUSO 54</t>
  </si>
  <si>
    <t>ISKANDAR</t>
  </si>
  <si>
    <t>DT FUSO 57</t>
  </si>
  <si>
    <t>M.MUSLIM</t>
  </si>
  <si>
    <t>DT FUSO 53</t>
  </si>
  <si>
    <t>IRSAN</t>
  </si>
  <si>
    <t>N. HOSIN</t>
  </si>
  <si>
    <t>SUMIL</t>
  </si>
  <si>
    <t>KESRA</t>
  </si>
  <si>
    <t>MARIL</t>
  </si>
  <si>
    <t>MAHARUDIN</t>
  </si>
  <si>
    <t>HYUNDAI 300</t>
  </si>
  <si>
    <t>MAINTANANCE</t>
  </si>
  <si>
    <t>025 DOOSAN</t>
  </si>
  <si>
    <t>02 HYUNDAI</t>
  </si>
  <si>
    <t>ANTO</t>
  </si>
  <si>
    <t>01 HYUNDAI</t>
  </si>
  <si>
    <t>NILAI BBM MASUK (RP)</t>
  </si>
  <si>
    <t>NILAI BBM KELUAR (RP)</t>
  </si>
  <si>
    <t>HARGA / LTR (RP)</t>
  </si>
  <si>
    <t>SISA STOK (LTR)</t>
  </si>
  <si>
    <t>BBM MASUK (LTR)</t>
  </si>
  <si>
    <t>BBM / LTR (KELUAR)</t>
  </si>
  <si>
    <t>LOKASI KEGIATAN</t>
  </si>
  <si>
    <t>DESKRIPSI AKTIVITAS</t>
  </si>
  <si>
    <t>ALAT / NO LAMBUNG</t>
  </si>
  <si>
    <t>NAMA OPT / DRIVER</t>
  </si>
  <si>
    <t>PENCATATAN BAHAN BAKAR MINYAK (BBM) / SOLAR</t>
  </si>
  <si>
    <t>RINGKASAN BBM &amp; BIAYA</t>
  </si>
  <si>
    <t>ASRUL</t>
  </si>
  <si>
    <t>SENAL</t>
  </si>
  <si>
    <t>JASMIN</t>
  </si>
  <si>
    <t>FIT PERUSDA (PJO)</t>
  </si>
  <si>
    <t>02 DT JASMIN</t>
  </si>
  <si>
    <t>03 DT JASMIN</t>
  </si>
  <si>
    <t>PAK JASMIN</t>
  </si>
  <si>
    <t>PT RIBAS</t>
  </si>
  <si>
    <t>TOWER LAMP 2 UNIT</t>
  </si>
  <si>
    <t>TOWER LAMP 3 UNIT</t>
  </si>
  <si>
    <t>PENGEMBALIAN BBM JASMIN</t>
  </si>
  <si>
    <t>PA RANTE</t>
  </si>
  <si>
    <t>TUMPUK ORE</t>
  </si>
  <si>
    <t>TUMPUK KUARSA</t>
  </si>
  <si>
    <t>NO</t>
  </si>
  <si>
    <t>NO LAMBUNG ( ALAT )</t>
  </si>
  <si>
    <t>JUMLAH BBM</t>
  </si>
  <si>
    <t>HM AWAL</t>
  </si>
  <si>
    <t>HM AKHIR</t>
  </si>
  <si>
    <t>DEDI SUAIB</t>
  </si>
  <si>
    <t>ANGGOTA POLSEK</t>
  </si>
  <si>
    <t>SUMBANGAN DARI IBU</t>
  </si>
  <si>
    <t>PC 200 SDLG (GAS 002)</t>
  </si>
  <si>
    <t>PC 200 SDLG (GAS 007)</t>
  </si>
  <si>
    <t>GREADER (GAS 008)</t>
  </si>
  <si>
    <t>LOADER (GAS 009)</t>
  </si>
  <si>
    <t>BOMAG (GAS 009)</t>
  </si>
  <si>
    <t>PC 200 XCMG (EXCA 001 GAS)</t>
  </si>
  <si>
    <t>ALAT PERUSDA</t>
  </si>
  <si>
    <t>ALAT U/ DIPERUSDA</t>
  </si>
  <si>
    <t>ALAT SUMITOMO PERUSDA</t>
  </si>
  <si>
    <t>TAMBAHAN BBM PERUSDA</t>
  </si>
  <si>
    <t>NTN</t>
  </si>
  <si>
    <t>KOMATSU 001</t>
  </si>
  <si>
    <t>KOMATSU 009</t>
  </si>
  <si>
    <t>KOMATSU 005</t>
  </si>
  <si>
    <t>LOADING TIMBUNAN</t>
  </si>
  <si>
    <t>SDLG 007</t>
  </si>
  <si>
    <t>ISI TIMBUNAN DI STP</t>
  </si>
  <si>
    <t>PIT PERUSDA</t>
  </si>
  <si>
    <t>ISI BATU DT DI STP</t>
  </si>
  <si>
    <t>BU YULI</t>
  </si>
  <si>
    <t>DICKY</t>
  </si>
  <si>
    <t>NTN (KOBELCO 002 PIT BU IRA)</t>
  </si>
  <si>
    <t>NTN (KOMATSU 007 STP)</t>
  </si>
  <si>
    <t>STOCKPILE - JETTY AMI</t>
  </si>
  <si>
    <t>NAMA OPERATOR</t>
  </si>
  <si>
    <t>RONAL</t>
  </si>
  <si>
    <t>DEDI</t>
  </si>
  <si>
    <t>A. JUMRIN</t>
  </si>
  <si>
    <t>STEL RAMDOR PPK</t>
  </si>
  <si>
    <t>BARGING PPK</t>
  </si>
  <si>
    <t>MAINTENANCE DEPAN RAMDOR</t>
  </si>
  <si>
    <t>RANTE</t>
  </si>
  <si>
    <t>ISI TIMBUNAN</t>
  </si>
  <si>
    <t xml:space="preserve"> </t>
  </si>
  <si>
    <t>YUSRAN</t>
  </si>
  <si>
    <t>RAJA</t>
  </si>
  <si>
    <t>PIAN</t>
  </si>
  <si>
    <t>DT 03</t>
  </si>
  <si>
    <t>DT 02</t>
  </si>
  <si>
    <t>PENGAMBILAN PT RIBAS</t>
  </si>
  <si>
    <t>SUMBANGAN BBM UNTUK POLSEK</t>
  </si>
  <si>
    <t xml:space="preserve">ISRA </t>
  </si>
  <si>
    <t>DEDY</t>
  </si>
  <si>
    <t>NTN BU IRA</t>
  </si>
  <si>
    <t>MAINTENANCE DEPAN RAMDOOR</t>
  </si>
  <si>
    <t>MAINTENANCE DEPAN RAMDOOR &amp; JALAN</t>
  </si>
  <si>
    <t>SANDARKAN TONGKANG</t>
  </si>
  <si>
    <t>MAINTENANCE DEPAN RAMDOOR DAN STOCKPILE</t>
  </si>
  <si>
    <t>PIT PERUSDA (PJO)</t>
  </si>
  <si>
    <t>JETTY AMI (TUMPUK ORE)</t>
  </si>
  <si>
    <t>MAINTENANCE DI STOCKPILE</t>
  </si>
  <si>
    <t>MAINTENANCE DI JETTY</t>
  </si>
  <si>
    <t>MAINTENANCE</t>
  </si>
  <si>
    <t>MAINTENANCE SAFETY</t>
  </si>
  <si>
    <t>SADDAM</t>
  </si>
  <si>
    <t>BONGKAR MUATAN TONGKANG</t>
  </si>
  <si>
    <t>LIPAT TUMPUKAN ORE</t>
  </si>
  <si>
    <t>ATUR TUMPUKAN ORE</t>
  </si>
  <si>
    <t>BUAT SAFETY BOOM</t>
  </si>
  <si>
    <t>STEPEN RIBAS</t>
  </si>
  <si>
    <t>FEBY</t>
  </si>
  <si>
    <t>HENDRA PJO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</si>
</sst>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#,##0.0;\(#,##0.0\);\-"/>
    <numFmt numFmtId="166" formatCode="dd\-mmm\-yyyy"/>
    <numFmt numFmtId="167" formatCode="#,##0.00;\(#,##0.00\);\-"/>
  </numFmts>
  <fonts count="23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i/>
      <sz val="9"/>
      <color rgb="FFC00000"/>
      <name val="Arial"/>
      <charset val="1"/>
    </font>
    <font>
      <i/>
      <sz val="10"/>
      <color rgb="FF666666"/>
      <name val="Arial"/>
      <charset val="1"/>
    </font>
    <font>
      <b/>
      <sz val="10"/>
      <color rgb="FF008000"/>
      <name val="Arial"/>
      <charset val="1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</font>
    <font>
      <b/>
      <sz val="10"/>
      <color rgb="FF00000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0000FF"/>
      <name val="Arial"/>
    </font>
    <font>
      <b/>
      <sz val="10"/>
      <color rgb="FFFFFFFF"/>
      <name val="Arial"/>
    </font>
    <font>
      <b/>
      <sz val="10"/>
      <color theme="1"/>
      <name val="Bahnschrift SemiBold"/>
      <family val="2"/>
    </font>
    <font>
      <sz val="10"/>
      <color theme="1"/>
      <name val="Calibri"/>
      <family val="2"/>
      <charset val="1"/>
    </font>
    <font>
      <sz val="10"/>
      <color rgb="FF000000"/>
      <name val="Arial"/>
      <family val="2"/>
    </font>
    <font>
      <b/>
      <sz val="14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7F9FC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0" xfId="0" applyFont="1" applyFill="1"/>
    <xf numFmtId="0" fontId="3" fillId="0" borderId="1" xfId="0" applyFont="1" applyBorder="1"/>
    <xf numFmtId="0" fontId="6" fillId="0" borderId="0" xfId="0" applyFont="1" applyAlignment="1">
      <alignment vertical="center" wrapText="1"/>
    </xf>
    <xf numFmtId="0" fontId="5" fillId="4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165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3" fillId="0" borderId="0" xfId="0" applyFont="1"/>
    <xf numFmtId="165" fontId="3" fillId="3" borderId="0" xfId="0" applyNumberFormat="1" applyFont="1" applyFill="1"/>
    <xf numFmtId="164" fontId="3" fillId="3" borderId="0" xfId="0" applyNumberFormat="1" applyFont="1" applyFill="1"/>
    <xf numFmtId="0" fontId="9" fillId="0" borderId="0" xfId="0" applyFont="1"/>
    <xf numFmtId="0" fontId="4" fillId="0" borderId="1" xfId="0" applyFont="1" applyBorder="1"/>
    <xf numFmtId="165" fontId="10" fillId="5" borderId="1" xfId="0" applyNumberFormat="1" applyFont="1" applyFill="1" applyBorder="1" applyAlignment="1">
      <alignment horizontal="right"/>
    </xf>
    <xf numFmtId="167" fontId="10" fillId="5" borderId="1" xfId="0" applyNumberFormat="1" applyFont="1" applyFill="1" applyBorder="1" applyAlignment="1">
      <alignment horizontal="right"/>
    </xf>
    <xf numFmtId="164" fontId="10" fillId="5" borderId="1" xfId="0" applyNumberFormat="1" applyFont="1" applyFill="1" applyBorder="1" applyAlignment="1">
      <alignment horizontal="right"/>
    </xf>
    <xf numFmtId="0" fontId="1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/>
    </xf>
    <xf numFmtId="164" fontId="13" fillId="7" borderId="1" xfId="0" applyNumberFormat="1" applyFont="1" applyFill="1" applyBorder="1"/>
    <xf numFmtId="0" fontId="5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/>
    <xf numFmtId="164" fontId="17" fillId="6" borderId="0" xfId="0" applyNumberFormat="1" applyFont="1" applyFill="1" applyAlignment="1">
      <alignment horizontal="center"/>
    </xf>
    <xf numFmtId="0" fontId="13" fillId="6" borderId="2" xfId="0" applyFont="1" applyFill="1" applyBorder="1"/>
    <xf numFmtId="164" fontId="13" fillId="9" borderId="3" xfId="0" applyNumberFormat="1" applyFont="1" applyFill="1" applyBorder="1"/>
    <xf numFmtId="164" fontId="13" fillId="7" borderId="3" xfId="0" applyNumberFormat="1" applyFont="1" applyFill="1" applyBorder="1"/>
    <xf numFmtId="165" fontId="13" fillId="6" borderId="3" xfId="0" applyNumberFormat="1" applyFont="1" applyFill="1" applyBorder="1"/>
    <xf numFmtId="0" fontId="13" fillId="6" borderId="3" xfId="0" applyFont="1" applyFill="1" applyBorder="1"/>
    <xf numFmtId="166" fontId="13" fillId="6" borderId="3" xfId="0" applyNumberFormat="1" applyFont="1" applyFill="1" applyBorder="1"/>
    <xf numFmtId="0" fontId="13" fillId="7" borderId="4" xfId="0" applyFont="1" applyFill="1" applyBorder="1"/>
    <xf numFmtId="0" fontId="13" fillId="6" borderId="5" xfId="0" applyFont="1" applyFill="1" applyBorder="1"/>
    <xf numFmtId="164" fontId="13" fillId="9" borderId="1" xfId="0" applyNumberFormat="1" applyFont="1" applyFill="1" applyBorder="1"/>
    <xf numFmtId="164" fontId="13" fillId="6" borderId="1" xfId="0" applyNumberFormat="1" applyFont="1" applyFill="1" applyBorder="1"/>
    <xf numFmtId="165" fontId="13" fillId="7" borderId="1" xfId="0" applyNumberFormat="1" applyFont="1" applyFill="1" applyBorder="1"/>
    <xf numFmtId="165" fontId="13" fillId="6" borderId="1" xfId="0" applyNumberFormat="1" applyFont="1" applyFill="1" applyBorder="1"/>
    <xf numFmtId="0" fontId="13" fillId="6" borderId="1" xfId="0" applyFont="1" applyFill="1" applyBorder="1"/>
    <xf numFmtId="166" fontId="13" fillId="6" borderId="1" xfId="0" applyNumberFormat="1" applyFont="1" applyFill="1" applyBorder="1"/>
    <xf numFmtId="0" fontId="13" fillId="7" borderId="6" xfId="0" applyFont="1" applyFill="1" applyBorder="1"/>
    <xf numFmtId="0" fontId="18" fillId="8" borderId="7" xfId="0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10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14" fontId="20" fillId="0" borderId="10" xfId="0" applyNumberFormat="1" applyFont="1" applyBorder="1" applyAlignment="1">
      <alignment horizontal="center"/>
    </xf>
    <xf numFmtId="0" fontId="21" fillId="6" borderId="1" xfId="0" applyFont="1" applyFill="1" applyBorder="1"/>
    <xf numFmtId="0" fontId="21" fillId="6" borderId="5" xfId="0" applyFont="1" applyFill="1" applyBorder="1"/>
    <xf numFmtId="14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8" fillId="0" borderId="0" xfId="0" applyFont="1" applyAlignment="1">
      <alignment wrapText="1"/>
    </xf>
    <xf numFmtId="0" fontId="2" fillId="2" borderId="0" xfId="0" applyFont="1" applyFill="1" applyAlignment="1">
      <alignment vertical="center" inden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 outline="0">
        <left style="thin">
          <color rgb="FFB0B0B0"/>
        </left>
        <right/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#,##0;\(#,##0\);\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#,##0;\(#,##0\);\-"/>
      <fill>
        <patternFill patternType="solid">
          <fgColor indexed="64"/>
          <bgColor rgb="FFEDEDED"/>
        </patternFill>
      </fill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#,##0;\(#,##0\);\-"/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#,##0.0;\(#,##0.0\);\-"/>
      <fill>
        <patternFill patternType="solid">
          <fgColor indexed="64"/>
          <bgColor rgb="FFEDEDED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#,##0.0;\(#,##0.0\);\-"/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#,##0.0;\(#,##0.0\);\-"/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6" formatCode="dd\-mmm\-yyyy"/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EDEDED"/>
        </patternFill>
      </fill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0B0B0"/>
      <rgbColor rgb="FF808080"/>
      <rgbColor rgb="FF9999FF"/>
      <rgbColor rgb="FF7030A0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A659AC-484A-411C-9123-1B21447211F6}" name="TBL_BBM" displayName="TBL_BBM" ref="A2:M683" totalsRowShown="0" headerRowDxfId="16" headerRowBorderDxfId="15" tableBorderDxfId="14" totalsRowBorderDxfId="13">
  <autoFilter ref="A2:M683" xr:uid="{00000000-0009-0000-0000-000003000000}"/>
  <tableColumns count="13">
    <tableColumn id="1" xr3:uid="{9EFD5A6C-DD66-4397-B271-7F4D88805C22}" name="BULAN" dataDxfId="12">
      <calculatedColumnFormula>IF(B3="","",TEXT(B3,"MMMM YYYY"))</calculatedColumnFormula>
    </tableColumn>
    <tableColumn id="2" xr3:uid="{3592A9C0-5DE3-424F-AE1F-A725307A9DB4}" name="TANGGAL" dataDxfId="11"/>
    <tableColumn id="3" xr3:uid="{36B59F49-4508-4997-B249-3D4B03E99FCF}" name="NAMA OPT / DRIVER" dataDxfId="10"/>
    <tableColumn id="4" xr3:uid="{C4A5ECCE-AFCD-4562-9FBD-A23D5F249338}" name="ALAT / NO LAMBUNG" dataDxfId="9"/>
    <tableColumn id="5" xr3:uid="{AABC0C71-66D4-43A8-85E8-7A012B012694}" name="DESKRIPSI AKTIVITAS" dataDxfId="8"/>
    <tableColumn id="6" xr3:uid="{0FEC28A8-BEB7-46C4-A7DB-F6AB9FFBAA52}" name="LOKASI KEGIATAN" dataDxfId="7"/>
    <tableColumn id="7" xr3:uid="{B7C33F8F-5058-4D9B-B940-A7DF7DCD5A92}" name="BBM / LTR (KELUAR)" dataDxfId="6"/>
    <tableColumn id="8" xr3:uid="{53B75689-D18B-42C1-B894-59EC9817E62E}" name="BBM MASUK (LTR)" dataDxfId="5"/>
    <tableColumn id="9" xr3:uid="{97ABB872-C271-4C85-B95C-347EA76A6022}" name="SISA STOK (LTR)" dataDxfId="4">
      <calculatedColumnFormula>IF(B3="","",IF(I2="",MASTER!$C$7,I2)+N(H3)-N(G3))</calculatedColumnFormula>
    </tableColumn>
    <tableColumn id="10" xr3:uid="{04760A9E-39E9-4BFE-B111-E5402FBD1ECC}" name="HARGA / LTR (RP)" dataDxfId="3"/>
    <tableColumn id="11" xr3:uid="{127CA53B-ABBC-4DF6-B323-0DA8ACAC8F16}" name="NILAI BBM KELUAR (RP)" dataDxfId="2">
      <calculatedColumnFormula>IF(OR(B3="",J3=""),"",N(G3)*J3)</calculatedColumnFormula>
    </tableColumn>
    <tableColumn id="12" xr3:uid="{982CCC8C-475B-47EB-9C58-EB084DB73BBC}" name="NILAI BBM MASUK (RP)" dataDxfId="1">
      <calculatedColumnFormula>IF(OR(B3="",H3="",J3=""),"",N(H3)*J3)</calculatedColumnFormula>
    </tableColumn>
    <tableColumn id="13" xr3:uid="{907BB74E-03C1-4CB5-842F-7DDBED4486D3}" name="KETERANGAN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CAC4F6-9581-4AE5-AB5D-033661420B2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9e0fdae-32a5-4e17-aae9-c67d6c83293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39997558519241921"/>
  </sheetPr>
  <dimension ref="A1:G41"/>
  <sheetViews>
    <sheetView showGridLines="0" zoomScale="70" zoomScaleNormal="70" workbookViewId="0">
      <selection activeCell="D23" sqref="D23"/>
    </sheetView>
  </sheetViews>
  <sheetFormatPr defaultColWidth="8.6328125" defaultRowHeight="14.5" x14ac:dyDescent="0.35"/>
  <cols>
    <col min="1" max="1" width="4" customWidth="1"/>
    <col min="2" max="2" width="34" customWidth="1"/>
    <col min="3" max="3" width="26.26953125" bestFit="1" customWidth="1"/>
    <col min="4" max="4" width="26.26953125" style="27" customWidth="1"/>
    <col min="5" max="5" width="40" customWidth="1"/>
    <col min="6" max="6" width="20" customWidth="1"/>
    <col min="7" max="7" width="14" customWidth="1"/>
  </cols>
  <sheetData>
    <row r="1" spans="1:7" ht="21.75" customHeight="1" x14ac:dyDescent="0.4">
      <c r="A1" s="56" t="s">
        <v>0</v>
      </c>
      <c r="B1" s="56"/>
      <c r="C1" s="56"/>
      <c r="D1" s="56"/>
      <c r="E1" s="56"/>
    </row>
    <row r="3" spans="1:7" x14ac:dyDescent="0.35">
      <c r="B3" s="1"/>
      <c r="C3" s="1"/>
      <c r="D3" s="25"/>
      <c r="E3" s="1"/>
    </row>
    <row r="4" spans="1:7" x14ac:dyDescent="0.35">
      <c r="B4" s="2" t="s">
        <v>1</v>
      </c>
      <c r="C4" s="4" t="s">
        <v>26</v>
      </c>
      <c r="D4" s="23"/>
      <c r="E4" s="3" t="s">
        <v>2</v>
      </c>
    </row>
    <row r="5" spans="1:7" x14ac:dyDescent="0.35">
      <c r="B5" s="2" t="s">
        <v>3</v>
      </c>
      <c r="C5" s="19" t="s">
        <v>4</v>
      </c>
      <c r="D5" s="24"/>
      <c r="E5" s="3" t="s">
        <v>5</v>
      </c>
    </row>
    <row r="6" spans="1:7" x14ac:dyDescent="0.35">
      <c r="B6" s="28" t="s">
        <v>23</v>
      </c>
      <c r="C6" s="29">
        <v>0</v>
      </c>
    </row>
    <row r="7" spans="1:7" x14ac:dyDescent="0.35">
      <c r="B7" s="28" t="s">
        <v>19</v>
      </c>
      <c r="C7" s="29">
        <v>0</v>
      </c>
    </row>
    <row r="8" spans="1:7" x14ac:dyDescent="0.35">
      <c r="B8" s="57" t="s">
        <v>6</v>
      </c>
      <c r="C8" s="57"/>
      <c r="D8" s="57"/>
      <c r="E8" s="57"/>
      <c r="F8" s="57"/>
      <c r="G8" s="57"/>
    </row>
    <row r="9" spans="1:7" ht="26.5" x14ac:dyDescent="0.35">
      <c r="B9" s="5" t="s">
        <v>7</v>
      </c>
      <c r="C9" s="5" t="s">
        <v>8</v>
      </c>
      <c r="D9" s="10" t="s">
        <v>47</v>
      </c>
      <c r="E9" s="5" t="s">
        <v>9</v>
      </c>
      <c r="F9" s="5" t="s">
        <v>10</v>
      </c>
      <c r="G9" s="5" t="s">
        <v>11</v>
      </c>
    </row>
    <row r="10" spans="1:7" x14ac:dyDescent="0.35">
      <c r="B10" s="20" t="s">
        <v>27</v>
      </c>
      <c r="C10" s="7" t="s">
        <v>43</v>
      </c>
      <c r="D10" s="26">
        <v>275000</v>
      </c>
      <c r="E10" s="21" t="s">
        <v>44</v>
      </c>
      <c r="F10" s="8">
        <v>400</v>
      </c>
      <c r="G10" s="6" t="s">
        <v>12</v>
      </c>
    </row>
    <row r="11" spans="1:7" x14ac:dyDescent="0.35">
      <c r="B11" s="20" t="s">
        <v>28</v>
      </c>
      <c r="C11" s="7" t="s">
        <v>42</v>
      </c>
      <c r="D11" s="26">
        <v>275000</v>
      </c>
      <c r="E11" s="21" t="s">
        <v>44</v>
      </c>
      <c r="F11" s="8">
        <v>400</v>
      </c>
      <c r="G11" s="6" t="s">
        <v>12</v>
      </c>
    </row>
    <row r="12" spans="1:7" x14ac:dyDescent="0.35">
      <c r="B12" s="20" t="s">
        <v>29</v>
      </c>
      <c r="C12" s="7" t="s">
        <v>45</v>
      </c>
      <c r="D12" s="26">
        <v>450000</v>
      </c>
      <c r="E12" s="21" t="s">
        <v>44</v>
      </c>
      <c r="F12" s="8">
        <v>400</v>
      </c>
      <c r="G12" s="6" t="s">
        <v>12</v>
      </c>
    </row>
    <row r="13" spans="1:7" x14ac:dyDescent="0.35">
      <c r="B13" s="20" t="s">
        <v>48</v>
      </c>
      <c r="C13" s="7" t="s">
        <v>46</v>
      </c>
      <c r="D13" s="26">
        <v>275000</v>
      </c>
      <c r="E13" s="21" t="s">
        <v>44</v>
      </c>
      <c r="F13" s="8">
        <v>400</v>
      </c>
      <c r="G13" s="6" t="s">
        <v>12</v>
      </c>
    </row>
    <row r="14" spans="1:7" x14ac:dyDescent="0.35">
      <c r="B14" s="20" t="s">
        <v>31</v>
      </c>
      <c r="C14" s="7" t="s">
        <v>48</v>
      </c>
      <c r="D14" s="26">
        <v>450000</v>
      </c>
      <c r="E14" s="21" t="s">
        <v>44</v>
      </c>
      <c r="F14" s="8">
        <v>400</v>
      </c>
      <c r="G14" s="6" t="s">
        <v>12</v>
      </c>
    </row>
    <row r="15" spans="1:7" x14ac:dyDescent="0.35">
      <c r="B15" s="20" t="s">
        <v>32</v>
      </c>
      <c r="C15" s="9" t="s">
        <v>41</v>
      </c>
      <c r="D15" s="26">
        <v>450000</v>
      </c>
      <c r="E15" s="21" t="s">
        <v>44</v>
      </c>
      <c r="F15" s="8">
        <v>400</v>
      </c>
      <c r="G15" s="6" t="s">
        <v>12</v>
      </c>
    </row>
    <row r="16" spans="1:7" x14ac:dyDescent="0.35">
      <c r="B16" s="20" t="s">
        <v>33</v>
      </c>
      <c r="C16" s="9"/>
      <c r="D16" s="26"/>
      <c r="E16" s="21" t="s">
        <v>44</v>
      </c>
      <c r="F16" s="8">
        <v>400</v>
      </c>
      <c r="G16" s="6" t="s">
        <v>12</v>
      </c>
    </row>
    <row r="17" spans="2:7" x14ac:dyDescent="0.35">
      <c r="B17" s="20" t="s">
        <v>34</v>
      </c>
      <c r="C17" s="9"/>
      <c r="D17" s="26"/>
      <c r="E17" s="21" t="s">
        <v>44</v>
      </c>
      <c r="F17" s="8">
        <v>400</v>
      </c>
      <c r="G17" s="6" t="s">
        <v>12</v>
      </c>
    </row>
    <row r="18" spans="2:7" x14ac:dyDescent="0.35">
      <c r="B18" s="20" t="s">
        <v>35</v>
      </c>
      <c r="C18" s="9"/>
      <c r="D18" s="26"/>
      <c r="E18" s="21" t="s">
        <v>44</v>
      </c>
      <c r="F18" s="8">
        <v>400</v>
      </c>
      <c r="G18" s="6" t="s">
        <v>12</v>
      </c>
    </row>
    <row r="19" spans="2:7" x14ac:dyDescent="0.35">
      <c r="B19" s="20" t="s">
        <v>36</v>
      </c>
      <c r="C19" s="9"/>
      <c r="D19" s="26"/>
      <c r="E19" s="21" t="s">
        <v>44</v>
      </c>
      <c r="F19" s="8">
        <v>400</v>
      </c>
      <c r="G19" s="6" t="s">
        <v>12</v>
      </c>
    </row>
    <row r="20" spans="2:7" x14ac:dyDescent="0.35">
      <c r="B20" s="7" t="s">
        <v>37</v>
      </c>
      <c r="C20" s="9"/>
      <c r="D20" s="26"/>
      <c r="E20" s="21" t="s">
        <v>44</v>
      </c>
      <c r="F20" s="8">
        <v>400</v>
      </c>
      <c r="G20" s="6" t="s">
        <v>12</v>
      </c>
    </row>
    <row r="21" spans="2:7" x14ac:dyDescent="0.35">
      <c r="B21" s="7" t="s">
        <v>38</v>
      </c>
      <c r="C21" s="9"/>
      <c r="D21" s="26"/>
      <c r="E21" s="21" t="s">
        <v>44</v>
      </c>
      <c r="F21" s="8">
        <v>400</v>
      </c>
      <c r="G21" s="6" t="s">
        <v>12</v>
      </c>
    </row>
    <row r="22" spans="2:7" x14ac:dyDescent="0.35">
      <c r="B22" s="7" t="s">
        <v>39</v>
      </c>
      <c r="C22" s="9"/>
      <c r="D22" s="26"/>
      <c r="E22" s="21" t="s">
        <v>44</v>
      </c>
      <c r="F22" s="8">
        <v>400</v>
      </c>
      <c r="G22" s="6" t="s">
        <v>12</v>
      </c>
    </row>
    <row r="23" spans="2:7" x14ac:dyDescent="0.35">
      <c r="B23" s="7" t="s">
        <v>40</v>
      </c>
      <c r="C23" s="9"/>
      <c r="D23" s="26"/>
      <c r="E23" s="21" t="s">
        <v>44</v>
      </c>
      <c r="F23" s="8">
        <v>400</v>
      </c>
      <c r="G23" s="6" t="s">
        <v>12</v>
      </c>
    </row>
    <row r="24" spans="2:7" x14ac:dyDescent="0.35">
      <c r="B24" s="9" t="s">
        <v>30</v>
      </c>
      <c r="C24" s="9"/>
      <c r="D24" s="26"/>
      <c r="E24" s="9"/>
      <c r="F24" s="9"/>
      <c r="G24" s="9"/>
    </row>
    <row r="25" spans="2:7" x14ac:dyDescent="0.35">
      <c r="B25" s="9" t="s">
        <v>31</v>
      </c>
      <c r="C25" s="9"/>
      <c r="D25" s="26"/>
      <c r="E25" s="9"/>
      <c r="F25" s="9"/>
      <c r="G25" s="9"/>
    </row>
    <row r="26" spans="2:7" x14ac:dyDescent="0.35">
      <c r="B26" s="9" t="s">
        <v>41</v>
      </c>
      <c r="C26" s="9"/>
      <c r="D26" s="26"/>
      <c r="E26" s="9"/>
      <c r="F26" s="9"/>
      <c r="G26" s="9"/>
    </row>
    <row r="27" spans="2:7" x14ac:dyDescent="0.35">
      <c r="B27" s="9" t="s">
        <v>33</v>
      </c>
      <c r="C27" s="9"/>
      <c r="D27" s="26"/>
      <c r="E27" s="9"/>
      <c r="F27" s="9"/>
      <c r="G27" s="9"/>
    </row>
    <row r="28" spans="2:7" x14ac:dyDescent="0.35">
      <c r="B28" s="9" t="s">
        <v>42</v>
      </c>
      <c r="C28" s="9"/>
      <c r="D28" s="26"/>
      <c r="E28" s="9"/>
      <c r="F28" s="9"/>
      <c r="G28" s="9"/>
    </row>
    <row r="29" spans="2:7" x14ac:dyDescent="0.35">
      <c r="B29" s="9" t="s">
        <v>34</v>
      </c>
      <c r="C29" s="9"/>
      <c r="D29" s="26"/>
      <c r="E29" s="9"/>
      <c r="F29" s="9"/>
      <c r="G29" s="9"/>
    </row>
    <row r="30" spans="2:7" x14ac:dyDescent="0.35">
      <c r="B30" s="9" t="s">
        <v>43</v>
      </c>
      <c r="C30" s="9"/>
      <c r="D30" s="26"/>
      <c r="E30" s="9"/>
      <c r="F30" s="9"/>
      <c r="G30" s="9"/>
    </row>
    <row r="31" spans="2:7" x14ac:dyDescent="0.35">
      <c r="B31" s="9" t="s">
        <v>35</v>
      </c>
      <c r="C31" s="9"/>
      <c r="D31" s="26"/>
      <c r="E31" s="9"/>
      <c r="F31" s="9"/>
      <c r="G31" s="9"/>
    </row>
    <row r="32" spans="2:7" x14ac:dyDescent="0.35">
      <c r="B32" s="9" t="s">
        <v>36</v>
      </c>
      <c r="C32" s="9"/>
      <c r="D32" s="26"/>
      <c r="E32" s="9"/>
      <c r="F32" s="9"/>
      <c r="G32" s="9"/>
    </row>
    <row r="33" spans="2:7" x14ac:dyDescent="0.35">
      <c r="B33" s="9"/>
      <c r="C33" s="9"/>
      <c r="D33" s="26"/>
      <c r="E33" s="9"/>
      <c r="F33" s="9"/>
      <c r="G33" s="9"/>
    </row>
    <row r="34" spans="2:7" x14ac:dyDescent="0.35">
      <c r="B34" s="9"/>
      <c r="C34" s="9"/>
      <c r="D34" s="26"/>
      <c r="E34" s="9"/>
      <c r="F34" s="9"/>
      <c r="G34" s="9"/>
    </row>
    <row r="35" spans="2:7" x14ac:dyDescent="0.35">
      <c r="B35" s="9"/>
      <c r="C35" s="9"/>
      <c r="D35" s="26"/>
      <c r="E35" s="9"/>
      <c r="F35" s="9"/>
      <c r="G35" s="9"/>
    </row>
    <row r="36" spans="2:7" x14ac:dyDescent="0.35">
      <c r="B36" s="9"/>
      <c r="C36" s="9"/>
      <c r="D36" s="26"/>
      <c r="E36" s="9"/>
      <c r="F36" s="9"/>
      <c r="G36" s="9"/>
    </row>
    <row r="37" spans="2:7" x14ac:dyDescent="0.35">
      <c r="B37" s="9"/>
      <c r="C37" s="9"/>
      <c r="D37" s="26"/>
      <c r="E37" s="9"/>
      <c r="F37" s="9"/>
      <c r="G37" s="9"/>
    </row>
    <row r="38" spans="2:7" x14ac:dyDescent="0.35">
      <c r="B38" s="9"/>
      <c r="C38" s="9"/>
      <c r="D38" s="26"/>
      <c r="E38" s="9"/>
      <c r="F38" s="9"/>
      <c r="G38" s="9"/>
    </row>
    <row r="39" spans="2:7" x14ac:dyDescent="0.35">
      <c r="B39" s="9"/>
      <c r="C39" s="9"/>
      <c r="D39" s="26"/>
      <c r="E39" s="9"/>
      <c r="F39" s="9"/>
      <c r="G39" s="9"/>
    </row>
    <row r="41" spans="2:7" ht="22.4" customHeight="1" x14ac:dyDescent="0.35">
      <c r="B41" s="58" t="s">
        <v>13</v>
      </c>
      <c r="C41" s="58"/>
      <c r="D41" s="58"/>
      <c r="E41" s="58"/>
      <c r="F41" s="58"/>
      <c r="G41" s="58"/>
    </row>
  </sheetData>
  <mergeCells count="3">
    <mergeCell ref="A1:E1"/>
    <mergeCell ref="B8:G8"/>
    <mergeCell ref="B41:G4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6BADE-E5B4-4D0E-AF58-82E004623F97}">
  <sheetPr>
    <tabColor theme="4" tint="0.59999389629810485"/>
  </sheetPr>
  <dimension ref="A1:M686"/>
  <sheetViews>
    <sheetView showGridLines="0" tabSelected="1" zoomScale="68" zoomScaleNormal="68" workbookViewId="0">
      <pane ySplit="2" topLeftCell="A666" activePane="bottomLeft" state="frozen"/>
      <selection pane="bottomLeft" activeCell="E677" sqref="E677"/>
    </sheetView>
  </sheetViews>
  <sheetFormatPr defaultColWidth="8.6328125" defaultRowHeight="14.5" x14ac:dyDescent="0.35"/>
  <cols>
    <col min="1" max="1" width="21.26953125" customWidth="1"/>
    <col min="2" max="2" width="16" customWidth="1"/>
    <col min="3" max="3" width="22" customWidth="1"/>
    <col min="4" max="4" width="29" customWidth="1"/>
    <col min="5" max="5" width="28" customWidth="1"/>
    <col min="6" max="6" width="24.26953125" customWidth="1"/>
    <col min="7" max="7" width="21.1796875" customWidth="1"/>
    <col min="8" max="8" width="19.453125" customWidth="1"/>
    <col min="9" max="9" width="17.54296875" customWidth="1"/>
    <col min="10" max="10" width="18.453125" customWidth="1"/>
    <col min="11" max="11" width="24.26953125" customWidth="1"/>
    <col min="12" max="12" width="23.6328125" customWidth="1"/>
    <col min="13" max="13" width="34.36328125" customWidth="1"/>
  </cols>
  <sheetData>
    <row r="1" spans="1:13" ht="21.75" customHeight="1" x14ac:dyDescent="0.4">
      <c r="A1" s="56" t="s">
        <v>386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ht="31.5" customHeight="1" x14ac:dyDescent="0.35">
      <c r="A2" s="47" t="s">
        <v>17</v>
      </c>
      <c r="B2" s="46" t="s">
        <v>14</v>
      </c>
      <c r="C2" s="46" t="s">
        <v>385</v>
      </c>
      <c r="D2" s="46" t="s">
        <v>384</v>
      </c>
      <c r="E2" s="46" t="s">
        <v>383</v>
      </c>
      <c r="F2" s="46" t="s">
        <v>382</v>
      </c>
      <c r="G2" s="46" t="s">
        <v>381</v>
      </c>
      <c r="H2" s="46" t="s">
        <v>380</v>
      </c>
      <c r="I2" s="46" t="s">
        <v>379</v>
      </c>
      <c r="J2" s="46" t="s">
        <v>378</v>
      </c>
      <c r="K2" s="46" t="s">
        <v>377</v>
      </c>
      <c r="L2" s="46" t="s">
        <v>376</v>
      </c>
      <c r="M2" s="45" t="s">
        <v>15</v>
      </c>
    </row>
    <row r="3" spans="1:13" x14ac:dyDescent="0.35">
      <c r="A3" s="44" t="str">
        <f t="shared" ref="A3:A66" si="0">IF(B3="","",TEXT(B3,"MMMM YYYY"))</f>
        <v>May 2026</v>
      </c>
      <c r="B3" s="43">
        <v>46154</v>
      </c>
      <c r="C3" s="42" t="s">
        <v>263</v>
      </c>
      <c r="D3" s="42" t="s">
        <v>375</v>
      </c>
      <c r="E3" s="42" t="s">
        <v>322</v>
      </c>
      <c r="F3" s="42" t="s">
        <v>166</v>
      </c>
      <c r="G3" s="41">
        <v>50</v>
      </c>
      <c r="H3" s="41">
        <v>10000</v>
      </c>
      <c r="I3" s="40">
        <f>IF(B3="","",MASTER!$C$7+N(H3)-N(G3))</f>
        <v>9950</v>
      </c>
      <c r="J3" s="39">
        <v>19000</v>
      </c>
      <c r="K3" s="22">
        <f t="shared" ref="K3:K66" si="1">IF(OR(B3="",J3=""),"",N(G3)*J3)</f>
        <v>950000</v>
      </c>
      <c r="L3" s="38">
        <f t="shared" ref="L3:L66" si="2">IF(OR(B3="",H3="",J3=""),"",N(H3)*J3)</f>
        <v>190000000</v>
      </c>
      <c r="M3" s="37"/>
    </row>
    <row r="4" spans="1:13" x14ac:dyDescent="0.35">
      <c r="A4" s="44" t="str">
        <f t="shared" si="0"/>
        <v>May 2026</v>
      </c>
      <c r="B4" s="43">
        <v>46154</v>
      </c>
      <c r="C4" s="42" t="s">
        <v>265</v>
      </c>
      <c r="D4" s="42" t="s">
        <v>335</v>
      </c>
      <c r="E4" s="42" t="s">
        <v>322</v>
      </c>
      <c r="F4" s="42" t="s">
        <v>166</v>
      </c>
      <c r="G4" s="41">
        <v>50</v>
      </c>
      <c r="H4" s="41"/>
      <c r="I4" s="40">
        <f>IF(B4="","",IF(I3="",MASTER!$C$7,I3)+N(H4)-N(G4))</f>
        <v>9900</v>
      </c>
      <c r="J4" s="39">
        <v>19000</v>
      </c>
      <c r="K4" s="22">
        <f t="shared" si="1"/>
        <v>950000</v>
      </c>
      <c r="L4" s="38" t="str">
        <f t="shared" si="2"/>
        <v/>
      </c>
      <c r="M4" s="37"/>
    </row>
    <row r="5" spans="1:13" x14ac:dyDescent="0.35">
      <c r="A5" s="44" t="str">
        <f t="shared" si="0"/>
        <v>May 2026</v>
      </c>
      <c r="B5" s="43">
        <v>46154</v>
      </c>
      <c r="C5" s="42" t="s">
        <v>374</v>
      </c>
      <c r="D5" s="42" t="s">
        <v>124</v>
      </c>
      <c r="E5" s="42" t="s">
        <v>322</v>
      </c>
      <c r="F5" s="42" t="s">
        <v>166</v>
      </c>
      <c r="G5" s="41">
        <v>100</v>
      </c>
      <c r="H5" s="41"/>
      <c r="I5" s="40">
        <f>IF(B5="","",IF(I4="",MASTER!$C$7,I4)+N(H5)-N(G5))</f>
        <v>9800</v>
      </c>
      <c r="J5" s="39">
        <v>19000</v>
      </c>
      <c r="K5" s="22">
        <f t="shared" si="1"/>
        <v>1900000</v>
      </c>
      <c r="L5" s="38" t="str">
        <f t="shared" si="2"/>
        <v/>
      </c>
      <c r="M5" s="37"/>
    </row>
    <row r="6" spans="1:13" x14ac:dyDescent="0.35">
      <c r="A6" s="44" t="str">
        <f t="shared" si="0"/>
        <v>May 2026</v>
      </c>
      <c r="B6" s="43">
        <v>46154</v>
      </c>
      <c r="C6" s="42" t="s">
        <v>234</v>
      </c>
      <c r="D6" s="42" t="s">
        <v>373</v>
      </c>
      <c r="E6" s="42" t="s">
        <v>322</v>
      </c>
      <c r="F6" s="42" t="s">
        <v>166</v>
      </c>
      <c r="G6" s="41">
        <v>50</v>
      </c>
      <c r="H6" s="41"/>
      <c r="I6" s="40">
        <f>IF(B6="","",IF(I5="",MASTER!$C$7,I5)+N(H6)-N(G6))</f>
        <v>9750</v>
      </c>
      <c r="J6" s="39">
        <v>19000</v>
      </c>
      <c r="K6" s="22">
        <f t="shared" si="1"/>
        <v>950000</v>
      </c>
      <c r="L6" s="38" t="str">
        <f t="shared" si="2"/>
        <v/>
      </c>
      <c r="M6" s="37"/>
    </row>
    <row r="7" spans="1:13" x14ac:dyDescent="0.35">
      <c r="A7" s="44" t="str">
        <f t="shared" si="0"/>
        <v>May 2026</v>
      </c>
      <c r="B7" s="43">
        <v>46154</v>
      </c>
      <c r="C7" s="42" t="s">
        <v>197</v>
      </c>
      <c r="D7" s="42" t="s">
        <v>372</v>
      </c>
      <c r="E7" s="42" t="s">
        <v>322</v>
      </c>
      <c r="F7" s="42" t="s">
        <v>166</v>
      </c>
      <c r="G7" s="41">
        <v>150</v>
      </c>
      <c r="H7" s="41"/>
      <c r="I7" s="40">
        <f>IF(B7="","",IF(I6="",MASTER!$C$7,I6)+N(H7)-N(G7))</f>
        <v>9600</v>
      </c>
      <c r="J7" s="39">
        <v>19000</v>
      </c>
      <c r="K7" s="22">
        <f t="shared" si="1"/>
        <v>2850000</v>
      </c>
      <c r="L7" s="38" t="str">
        <f t="shared" si="2"/>
        <v/>
      </c>
      <c r="M7" s="37"/>
    </row>
    <row r="8" spans="1:13" x14ac:dyDescent="0.35">
      <c r="A8" s="44" t="str">
        <f t="shared" si="0"/>
        <v>May 2026</v>
      </c>
      <c r="B8" s="43">
        <v>46155</v>
      </c>
      <c r="C8" s="42" t="s">
        <v>159</v>
      </c>
      <c r="D8" s="42" t="s">
        <v>41</v>
      </c>
      <c r="E8" s="42" t="s">
        <v>371</v>
      </c>
      <c r="F8" s="42" t="s">
        <v>157</v>
      </c>
      <c r="G8" s="41">
        <v>160</v>
      </c>
      <c r="H8" s="41"/>
      <c r="I8" s="40">
        <f>IF(B8="","",IF(I7="",MASTER!$C$7,I7)+N(H8)-N(G8))</f>
        <v>9440</v>
      </c>
      <c r="J8" s="39">
        <v>19000</v>
      </c>
      <c r="K8" s="22">
        <f t="shared" si="1"/>
        <v>3040000</v>
      </c>
      <c r="L8" s="38" t="str">
        <f t="shared" si="2"/>
        <v/>
      </c>
      <c r="M8" s="37"/>
    </row>
    <row r="9" spans="1:13" x14ac:dyDescent="0.35">
      <c r="A9" s="44" t="str">
        <f t="shared" si="0"/>
        <v>May 2026</v>
      </c>
      <c r="B9" s="43">
        <v>46155</v>
      </c>
      <c r="C9" s="42" t="s">
        <v>99</v>
      </c>
      <c r="D9" s="42" t="s">
        <v>257</v>
      </c>
      <c r="E9" s="42" t="s">
        <v>356</v>
      </c>
      <c r="F9" s="42" t="s">
        <v>166</v>
      </c>
      <c r="G9" s="41">
        <v>100</v>
      </c>
      <c r="H9" s="41"/>
      <c r="I9" s="40">
        <f>IF(B9="","",IF(I8="",MASTER!$C$7,I8)+N(H9)-N(G9))</f>
        <v>9340</v>
      </c>
      <c r="J9" s="39">
        <v>19000</v>
      </c>
      <c r="K9" s="22">
        <f t="shared" si="1"/>
        <v>1900000</v>
      </c>
      <c r="L9" s="38" t="str">
        <f t="shared" si="2"/>
        <v/>
      </c>
      <c r="M9" s="37"/>
    </row>
    <row r="10" spans="1:13" x14ac:dyDescent="0.35">
      <c r="A10" s="44" t="str">
        <f t="shared" si="0"/>
        <v>May 2026</v>
      </c>
      <c r="B10" s="43">
        <v>46155</v>
      </c>
      <c r="C10" s="42" t="s">
        <v>170</v>
      </c>
      <c r="D10" s="42" t="s">
        <v>260</v>
      </c>
      <c r="E10" s="42" t="s">
        <v>322</v>
      </c>
      <c r="F10" s="42" t="s">
        <v>166</v>
      </c>
      <c r="G10" s="41">
        <v>200</v>
      </c>
      <c r="H10" s="41"/>
      <c r="I10" s="40">
        <f>IF(B10="","",IF(I9="",MASTER!$C$7,I9)+N(H10)-N(G10))</f>
        <v>9140</v>
      </c>
      <c r="J10" s="39">
        <v>19000</v>
      </c>
      <c r="K10" s="22">
        <f t="shared" si="1"/>
        <v>3800000</v>
      </c>
      <c r="L10" s="38" t="str">
        <f t="shared" si="2"/>
        <v/>
      </c>
      <c r="M10" s="37"/>
    </row>
    <row r="11" spans="1:13" x14ac:dyDescent="0.35">
      <c r="A11" s="44" t="str">
        <f t="shared" si="0"/>
        <v>May 2026</v>
      </c>
      <c r="B11" s="43">
        <v>46155</v>
      </c>
      <c r="C11" s="42" t="s">
        <v>197</v>
      </c>
      <c r="D11" s="42" t="s">
        <v>370</v>
      </c>
      <c r="E11" s="42" t="s">
        <v>322</v>
      </c>
      <c r="F11" s="42" t="s">
        <v>166</v>
      </c>
      <c r="G11" s="41">
        <v>200</v>
      </c>
      <c r="H11" s="41"/>
      <c r="I11" s="40">
        <f>IF(B11="","",IF(I10="",MASTER!$C$7,I10)+N(H11)-N(G11))</f>
        <v>8940</v>
      </c>
      <c r="J11" s="39">
        <v>19000</v>
      </c>
      <c r="K11" s="22">
        <f t="shared" si="1"/>
        <v>3800000</v>
      </c>
      <c r="L11" s="38" t="str">
        <f t="shared" si="2"/>
        <v/>
      </c>
      <c r="M11" s="37"/>
    </row>
    <row r="12" spans="1:13" x14ac:dyDescent="0.35">
      <c r="A12" s="44" t="str">
        <f t="shared" si="0"/>
        <v>May 2026</v>
      </c>
      <c r="B12" s="43">
        <v>46155</v>
      </c>
      <c r="C12" s="42" t="s">
        <v>202</v>
      </c>
      <c r="D12" s="42" t="s">
        <v>201</v>
      </c>
      <c r="E12" s="42" t="s">
        <v>356</v>
      </c>
      <c r="F12" s="42" t="s">
        <v>166</v>
      </c>
      <c r="G12" s="41">
        <v>100</v>
      </c>
      <c r="H12" s="41"/>
      <c r="I12" s="40">
        <f>IF(B12="","",IF(I11="",MASTER!$C$7,I11)+N(H12)-N(G12))</f>
        <v>8840</v>
      </c>
      <c r="J12" s="39">
        <v>19000</v>
      </c>
      <c r="K12" s="22">
        <f t="shared" si="1"/>
        <v>1900000</v>
      </c>
      <c r="L12" s="38" t="str">
        <f t="shared" si="2"/>
        <v/>
      </c>
      <c r="M12" s="37"/>
    </row>
    <row r="13" spans="1:13" x14ac:dyDescent="0.35">
      <c r="A13" s="44" t="str">
        <f t="shared" si="0"/>
        <v>May 2026</v>
      </c>
      <c r="B13" s="43">
        <v>46155</v>
      </c>
      <c r="C13" s="42" t="s">
        <v>195</v>
      </c>
      <c r="D13" s="42" t="s">
        <v>244</v>
      </c>
      <c r="E13" s="42" t="s">
        <v>356</v>
      </c>
      <c r="F13" s="42" t="s">
        <v>166</v>
      </c>
      <c r="G13" s="41">
        <v>50</v>
      </c>
      <c r="H13" s="41"/>
      <c r="I13" s="40">
        <f>IF(B13="","",IF(I12="",MASTER!$C$7,I12)+N(H13)-N(G13))</f>
        <v>8790</v>
      </c>
      <c r="J13" s="39">
        <v>19000</v>
      </c>
      <c r="K13" s="22">
        <f t="shared" si="1"/>
        <v>950000</v>
      </c>
      <c r="L13" s="38" t="str">
        <f t="shared" si="2"/>
        <v/>
      </c>
      <c r="M13" s="37"/>
    </row>
    <row r="14" spans="1:13" x14ac:dyDescent="0.35">
      <c r="A14" s="44" t="str">
        <f t="shared" si="0"/>
        <v>May 2026</v>
      </c>
      <c r="B14" s="43">
        <v>46155</v>
      </c>
      <c r="C14" s="42" t="s">
        <v>286</v>
      </c>
      <c r="D14" s="42" t="s">
        <v>167</v>
      </c>
      <c r="E14" s="42" t="s">
        <v>322</v>
      </c>
      <c r="F14" s="42" t="s">
        <v>166</v>
      </c>
      <c r="G14" s="41">
        <v>200</v>
      </c>
      <c r="H14" s="41"/>
      <c r="I14" s="40">
        <f>IF(B14="","",IF(I13="",MASTER!$C$7,I13)+N(H14)-N(G14))</f>
        <v>8590</v>
      </c>
      <c r="J14" s="39">
        <v>19000</v>
      </c>
      <c r="K14" s="22">
        <f t="shared" si="1"/>
        <v>3800000</v>
      </c>
      <c r="L14" s="38" t="str">
        <f t="shared" si="2"/>
        <v/>
      </c>
      <c r="M14" s="37"/>
    </row>
    <row r="15" spans="1:13" x14ac:dyDescent="0.35">
      <c r="A15" s="44" t="str">
        <f t="shared" si="0"/>
        <v>May 2026</v>
      </c>
      <c r="B15" s="43">
        <v>46155</v>
      </c>
      <c r="C15" s="42" t="s">
        <v>192</v>
      </c>
      <c r="D15" s="42" t="s">
        <v>194</v>
      </c>
      <c r="E15" s="42" t="s">
        <v>356</v>
      </c>
      <c r="F15" s="42" t="s">
        <v>166</v>
      </c>
      <c r="G15" s="41">
        <v>100</v>
      </c>
      <c r="H15" s="41"/>
      <c r="I15" s="40">
        <f>IF(B15="","",IF(I14="",MASTER!$C$7,I14)+N(H15)-N(G15))</f>
        <v>8490</v>
      </c>
      <c r="J15" s="39">
        <v>19000</v>
      </c>
      <c r="K15" s="22">
        <f t="shared" si="1"/>
        <v>1900000</v>
      </c>
      <c r="L15" s="38" t="str">
        <f t="shared" si="2"/>
        <v/>
      </c>
      <c r="M15" s="37"/>
    </row>
    <row r="16" spans="1:13" x14ac:dyDescent="0.35">
      <c r="A16" s="44" t="str">
        <f t="shared" si="0"/>
        <v>May 2026</v>
      </c>
      <c r="B16" s="43">
        <v>46155</v>
      </c>
      <c r="C16" s="42" t="s">
        <v>369</v>
      </c>
      <c r="D16" s="42" t="s">
        <v>288</v>
      </c>
      <c r="E16" s="42" t="s">
        <v>356</v>
      </c>
      <c r="F16" s="42" t="s">
        <v>155</v>
      </c>
      <c r="G16" s="41">
        <v>50</v>
      </c>
      <c r="H16" s="41"/>
      <c r="I16" s="40">
        <f>IF(B16="","",IF(I15="",MASTER!$C$7,I15)+N(H16)-N(G16))</f>
        <v>8440</v>
      </c>
      <c r="J16" s="39">
        <v>19000</v>
      </c>
      <c r="K16" s="22">
        <f t="shared" si="1"/>
        <v>950000</v>
      </c>
      <c r="L16" s="38" t="str">
        <f t="shared" si="2"/>
        <v/>
      </c>
      <c r="M16" s="37"/>
    </row>
    <row r="17" spans="1:13" x14ac:dyDescent="0.35">
      <c r="A17" s="44" t="str">
        <f t="shared" si="0"/>
        <v>May 2026</v>
      </c>
      <c r="B17" s="43">
        <v>46155</v>
      </c>
      <c r="C17" s="42" t="s">
        <v>368</v>
      </c>
      <c r="D17" s="42" t="s">
        <v>177</v>
      </c>
      <c r="E17" s="42" t="s">
        <v>356</v>
      </c>
      <c r="F17" s="42" t="s">
        <v>155</v>
      </c>
      <c r="G17" s="41">
        <v>50</v>
      </c>
      <c r="H17" s="41"/>
      <c r="I17" s="40">
        <f>IF(B17="","",IF(I16="",MASTER!$C$7,I16)+N(H17)-N(G17))</f>
        <v>8390</v>
      </c>
      <c r="J17" s="39">
        <v>19000</v>
      </c>
      <c r="K17" s="22">
        <f t="shared" si="1"/>
        <v>950000</v>
      </c>
      <c r="L17" s="38" t="str">
        <f t="shared" si="2"/>
        <v/>
      </c>
      <c r="M17" s="37"/>
    </row>
    <row r="18" spans="1:13" x14ac:dyDescent="0.35">
      <c r="A18" s="44" t="str">
        <f t="shared" si="0"/>
        <v>May 2026</v>
      </c>
      <c r="B18" s="43">
        <v>46155</v>
      </c>
      <c r="C18" s="42" t="s">
        <v>253</v>
      </c>
      <c r="D18" s="42" t="s">
        <v>181</v>
      </c>
      <c r="E18" s="42" t="s">
        <v>356</v>
      </c>
      <c r="F18" s="42" t="s">
        <v>155</v>
      </c>
      <c r="G18" s="41">
        <v>50</v>
      </c>
      <c r="H18" s="41"/>
      <c r="I18" s="40">
        <f>IF(B18="","",IF(I17="",MASTER!$C$7,I17)+N(H18)-N(G18))</f>
        <v>8340</v>
      </c>
      <c r="J18" s="39">
        <v>19000</v>
      </c>
      <c r="K18" s="22">
        <f t="shared" si="1"/>
        <v>950000</v>
      </c>
      <c r="L18" s="38" t="str">
        <f t="shared" si="2"/>
        <v/>
      </c>
      <c r="M18" s="37"/>
    </row>
    <row r="19" spans="1:13" x14ac:dyDescent="0.35">
      <c r="A19" s="44" t="str">
        <f t="shared" si="0"/>
        <v>May 2026</v>
      </c>
      <c r="B19" s="43">
        <v>46155</v>
      </c>
      <c r="C19" s="42" t="s">
        <v>367</v>
      </c>
      <c r="D19" s="42" t="s">
        <v>179</v>
      </c>
      <c r="E19" s="42" t="s">
        <v>356</v>
      </c>
      <c r="F19" s="42" t="s">
        <v>155</v>
      </c>
      <c r="G19" s="41">
        <v>50</v>
      </c>
      <c r="H19" s="41"/>
      <c r="I19" s="40">
        <f>IF(B19="","",IF(I18="",MASTER!$C$7,I18)+N(H19)-N(G19))</f>
        <v>8290</v>
      </c>
      <c r="J19" s="39">
        <v>19000</v>
      </c>
      <c r="K19" s="22">
        <f t="shared" si="1"/>
        <v>950000</v>
      </c>
      <c r="L19" s="38" t="str">
        <f t="shared" si="2"/>
        <v/>
      </c>
      <c r="M19" s="37"/>
    </row>
    <row r="20" spans="1:13" x14ac:dyDescent="0.35">
      <c r="A20" s="44" t="str">
        <f t="shared" si="0"/>
        <v>May 2026</v>
      </c>
      <c r="B20" s="43">
        <v>46155</v>
      </c>
      <c r="C20" s="42" t="s">
        <v>176</v>
      </c>
      <c r="D20" s="42" t="s">
        <v>175</v>
      </c>
      <c r="E20" s="42" t="s">
        <v>356</v>
      </c>
      <c r="F20" s="42" t="s">
        <v>155</v>
      </c>
      <c r="G20" s="41">
        <v>50</v>
      </c>
      <c r="H20" s="41"/>
      <c r="I20" s="40">
        <f>IF(B20="","",IF(I19="",MASTER!$C$7,I19)+N(H20)-N(G20))</f>
        <v>8240</v>
      </c>
      <c r="J20" s="39">
        <v>19000</v>
      </c>
      <c r="K20" s="22">
        <f t="shared" si="1"/>
        <v>950000</v>
      </c>
      <c r="L20" s="38" t="str">
        <f t="shared" si="2"/>
        <v/>
      </c>
      <c r="M20" s="37"/>
    </row>
    <row r="21" spans="1:13" x14ac:dyDescent="0.35">
      <c r="A21" s="44" t="str">
        <f t="shared" si="0"/>
        <v>May 2026</v>
      </c>
      <c r="B21" s="43">
        <v>46155</v>
      </c>
      <c r="C21" s="42" t="s">
        <v>366</v>
      </c>
      <c r="D21" s="42" t="s">
        <v>183</v>
      </c>
      <c r="E21" s="42" t="s">
        <v>356</v>
      </c>
      <c r="F21" s="42" t="s">
        <v>155</v>
      </c>
      <c r="G21" s="41">
        <v>50</v>
      </c>
      <c r="H21" s="41"/>
      <c r="I21" s="40">
        <f>IF(B21="","",IF(I20="",MASTER!$C$7,I20)+N(H21)-N(G21))</f>
        <v>8190</v>
      </c>
      <c r="J21" s="39">
        <v>19000</v>
      </c>
      <c r="K21" s="22">
        <f t="shared" si="1"/>
        <v>950000</v>
      </c>
      <c r="L21" s="38" t="str">
        <f t="shared" si="2"/>
        <v/>
      </c>
      <c r="M21" s="37"/>
    </row>
    <row r="22" spans="1:13" x14ac:dyDescent="0.35">
      <c r="A22" s="44" t="str">
        <f t="shared" si="0"/>
        <v>May 2026</v>
      </c>
      <c r="B22" s="43">
        <v>46155</v>
      </c>
      <c r="C22" s="42" t="s">
        <v>365</v>
      </c>
      <c r="D22" s="42" t="s">
        <v>281</v>
      </c>
      <c r="E22" s="42" t="s">
        <v>356</v>
      </c>
      <c r="F22" s="42" t="s">
        <v>155</v>
      </c>
      <c r="G22" s="41">
        <v>50</v>
      </c>
      <c r="H22" s="41"/>
      <c r="I22" s="40">
        <f>IF(B22="","",IF(I21="",MASTER!$C$7,I21)+N(H22)-N(G22))</f>
        <v>8140</v>
      </c>
      <c r="J22" s="39">
        <v>19000</v>
      </c>
      <c r="K22" s="22">
        <f t="shared" si="1"/>
        <v>950000</v>
      </c>
      <c r="L22" s="38" t="str">
        <f t="shared" si="2"/>
        <v/>
      </c>
      <c r="M22" s="37"/>
    </row>
    <row r="23" spans="1:13" x14ac:dyDescent="0.35">
      <c r="A23" s="44" t="str">
        <f t="shared" si="0"/>
        <v>May 2026</v>
      </c>
      <c r="B23" s="43">
        <v>46155</v>
      </c>
      <c r="C23" s="42" t="s">
        <v>364</v>
      </c>
      <c r="D23" s="42" t="s">
        <v>363</v>
      </c>
      <c r="E23" s="42" t="s">
        <v>356</v>
      </c>
      <c r="F23" s="42" t="s">
        <v>155</v>
      </c>
      <c r="G23" s="41">
        <v>50</v>
      </c>
      <c r="H23" s="41"/>
      <c r="I23" s="40">
        <f>IF(B23="","",IF(I22="",MASTER!$C$7,I22)+N(H23)-N(G23))</f>
        <v>8090</v>
      </c>
      <c r="J23" s="39">
        <v>19000</v>
      </c>
      <c r="K23" s="22">
        <f t="shared" si="1"/>
        <v>950000</v>
      </c>
      <c r="L23" s="38" t="str">
        <f t="shared" si="2"/>
        <v/>
      </c>
      <c r="M23" s="37"/>
    </row>
    <row r="24" spans="1:13" x14ac:dyDescent="0.35">
      <c r="A24" s="44" t="str">
        <f t="shared" si="0"/>
        <v>May 2026</v>
      </c>
      <c r="B24" s="43">
        <v>46155</v>
      </c>
      <c r="C24" s="42" t="s">
        <v>362</v>
      </c>
      <c r="D24" s="42" t="s">
        <v>361</v>
      </c>
      <c r="E24" s="42" t="s">
        <v>356</v>
      </c>
      <c r="F24" s="42" t="s">
        <v>155</v>
      </c>
      <c r="G24" s="41">
        <v>50</v>
      </c>
      <c r="H24" s="41"/>
      <c r="I24" s="40">
        <f>IF(B24="","",IF(I23="",MASTER!$C$7,I23)+N(H24)-N(G24))</f>
        <v>8040</v>
      </c>
      <c r="J24" s="39">
        <v>19000</v>
      </c>
      <c r="K24" s="22">
        <f t="shared" si="1"/>
        <v>950000</v>
      </c>
      <c r="L24" s="38" t="str">
        <f t="shared" si="2"/>
        <v/>
      </c>
      <c r="M24" s="37"/>
    </row>
    <row r="25" spans="1:13" x14ac:dyDescent="0.35">
      <c r="A25" s="44" t="str">
        <f t="shared" si="0"/>
        <v>May 2026</v>
      </c>
      <c r="B25" s="43">
        <v>46155</v>
      </c>
      <c r="C25" s="42" t="s">
        <v>360</v>
      </c>
      <c r="D25" s="42" t="s">
        <v>359</v>
      </c>
      <c r="E25" s="42" t="s">
        <v>356</v>
      </c>
      <c r="F25" s="42" t="s">
        <v>155</v>
      </c>
      <c r="G25" s="41">
        <v>50</v>
      </c>
      <c r="H25" s="41"/>
      <c r="I25" s="40">
        <f>IF(B25="","",IF(I24="",MASTER!$C$7,I24)+N(H25)-N(G25))</f>
        <v>7990</v>
      </c>
      <c r="J25" s="39">
        <v>19000</v>
      </c>
      <c r="K25" s="22">
        <f t="shared" si="1"/>
        <v>950000</v>
      </c>
      <c r="L25" s="38" t="str">
        <f t="shared" si="2"/>
        <v/>
      </c>
      <c r="M25" s="37"/>
    </row>
    <row r="26" spans="1:13" x14ac:dyDescent="0.35">
      <c r="A26" s="44" t="str">
        <f t="shared" si="0"/>
        <v>May 2026</v>
      </c>
      <c r="B26" s="43">
        <v>46155</v>
      </c>
      <c r="C26" s="42" t="s">
        <v>358</v>
      </c>
      <c r="D26" s="42" t="s">
        <v>254</v>
      </c>
      <c r="E26" s="42" t="s">
        <v>356</v>
      </c>
      <c r="F26" s="42" t="s">
        <v>155</v>
      </c>
      <c r="G26" s="41">
        <v>50</v>
      </c>
      <c r="H26" s="41"/>
      <c r="I26" s="40">
        <f>IF(B26="","",IF(I25="",MASTER!$C$7,I25)+N(H26)-N(G26))</f>
        <v>7940</v>
      </c>
      <c r="J26" s="39">
        <v>19000</v>
      </c>
      <c r="K26" s="22">
        <f t="shared" si="1"/>
        <v>950000</v>
      </c>
      <c r="L26" s="38" t="str">
        <f t="shared" si="2"/>
        <v/>
      </c>
      <c r="M26" s="37"/>
    </row>
    <row r="27" spans="1:13" x14ac:dyDescent="0.35">
      <c r="A27" s="44" t="str">
        <f t="shared" si="0"/>
        <v>May 2026</v>
      </c>
      <c r="B27" s="43">
        <v>46155</v>
      </c>
      <c r="C27" s="42" t="s">
        <v>323</v>
      </c>
      <c r="D27" s="42" t="s">
        <v>287</v>
      </c>
      <c r="E27" s="42" t="s">
        <v>356</v>
      </c>
      <c r="F27" s="42" t="s">
        <v>155</v>
      </c>
      <c r="G27" s="41">
        <v>50</v>
      </c>
      <c r="H27" s="41"/>
      <c r="I27" s="40">
        <f>IF(B27="","",IF(I26="",MASTER!$C$7,I26)+N(H27)-N(G27))</f>
        <v>7890</v>
      </c>
      <c r="J27" s="39">
        <v>19000</v>
      </c>
      <c r="K27" s="22">
        <f t="shared" si="1"/>
        <v>950000</v>
      </c>
      <c r="L27" s="38" t="str">
        <f t="shared" si="2"/>
        <v/>
      </c>
      <c r="M27" s="37"/>
    </row>
    <row r="28" spans="1:13" x14ac:dyDescent="0.35">
      <c r="A28" s="44" t="str">
        <f t="shared" si="0"/>
        <v>May 2026</v>
      </c>
      <c r="B28" s="43">
        <v>46155</v>
      </c>
      <c r="C28" s="42" t="s">
        <v>357</v>
      </c>
      <c r="D28" s="42" t="s">
        <v>251</v>
      </c>
      <c r="E28" s="42" t="s">
        <v>356</v>
      </c>
      <c r="F28" s="42" t="s">
        <v>155</v>
      </c>
      <c r="G28" s="41">
        <v>50</v>
      </c>
      <c r="H28" s="41"/>
      <c r="I28" s="40">
        <f>IF(B28="","",IF(I27="",MASTER!$C$7,I27)+N(H28)-N(G28))</f>
        <v>7840</v>
      </c>
      <c r="J28" s="39">
        <v>19000</v>
      </c>
      <c r="K28" s="22">
        <f t="shared" si="1"/>
        <v>950000</v>
      </c>
      <c r="L28" s="38" t="str">
        <f t="shared" si="2"/>
        <v/>
      </c>
      <c r="M28" s="37"/>
    </row>
    <row r="29" spans="1:13" x14ac:dyDescent="0.35">
      <c r="A29" s="44" t="str">
        <f t="shared" si="0"/>
        <v>May 2026</v>
      </c>
      <c r="B29" s="43">
        <v>46155</v>
      </c>
      <c r="C29" s="42" t="s">
        <v>357</v>
      </c>
      <c r="D29" s="42" t="s">
        <v>248</v>
      </c>
      <c r="E29" s="42" t="s">
        <v>356</v>
      </c>
      <c r="F29" s="42" t="s">
        <v>155</v>
      </c>
      <c r="G29" s="41">
        <v>50</v>
      </c>
      <c r="H29" s="41"/>
      <c r="I29" s="40">
        <f>IF(B29="","",IF(I28="",MASTER!$C$7,I28)+N(H29)-N(G29))</f>
        <v>7790</v>
      </c>
      <c r="J29" s="39">
        <v>19000</v>
      </c>
      <c r="K29" s="22">
        <f t="shared" si="1"/>
        <v>950000</v>
      </c>
      <c r="L29" s="38" t="str">
        <f t="shared" si="2"/>
        <v/>
      </c>
      <c r="M29" s="37"/>
    </row>
    <row r="30" spans="1:13" x14ac:dyDescent="0.35">
      <c r="A30" s="44" t="str">
        <f t="shared" si="0"/>
        <v>May 2026</v>
      </c>
      <c r="B30" s="43">
        <v>46155</v>
      </c>
      <c r="C30" s="42" t="s">
        <v>357</v>
      </c>
      <c r="D30" s="42" t="s">
        <v>304</v>
      </c>
      <c r="E30" s="42" t="s">
        <v>356</v>
      </c>
      <c r="F30" s="42" t="s">
        <v>155</v>
      </c>
      <c r="G30" s="41">
        <v>50</v>
      </c>
      <c r="H30" s="41"/>
      <c r="I30" s="40">
        <f>IF(B30="","",IF(I29="",MASTER!$C$7,I29)+N(H30)-N(G30))</f>
        <v>7740</v>
      </c>
      <c r="J30" s="39">
        <v>19000</v>
      </c>
      <c r="K30" s="22">
        <f t="shared" si="1"/>
        <v>950000</v>
      </c>
      <c r="L30" s="38" t="str">
        <f t="shared" si="2"/>
        <v/>
      </c>
      <c r="M30" s="37"/>
    </row>
    <row r="31" spans="1:13" x14ac:dyDescent="0.35">
      <c r="A31" s="44" t="str">
        <f t="shared" si="0"/>
        <v>May 2026</v>
      </c>
      <c r="B31" s="43">
        <v>46160</v>
      </c>
      <c r="C31" s="42" t="s">
        <v>355</v>
      </c>
      <c r="D31" s="42" t="s">
        <v>354</v>
      </c>
      <c r="E31" s="42" t="s">
        <v>353</v>
      </c>
      <c r="F31" s="42" t="s">
        <v>157</v>
      </c>
      <c r="G31" s="41">
        <v>110</v>
      </c>
      <c r="H31" s="41"/>
      <c r="I31" s="40">
        <f>IF(B31="","",IF(I30="",MASTER!$C$7,I30)+N(H31)-N(G31))</f>
        <v>7630</v>
      </c>
      <c r="J31" s="39">
        <v>19000</v>
      </c>
      <c r="K31" s="22">
        <f t="shared" si="1"/>
        <v>2090000</v>
      </c>
      <c r="L31" s="38" t="str">
        <f t="shared" si="2"/>
        <v/>
      </c>
      <c r="M31" s="37"/>
    </row>
    <row r="32" spans="1:13" x14ac:dyDescent="0.35">
      <c r="A32" s="44" t="str">
        <f t="shared" si="0"/>
        <v>May 2026</v>
      </c>
      <c r="B32" s="43">
        <v>46160</v>
      </c>
      <c r="C32" s="42" t="s">
        <v>234</v>
      </c>
      <c r="D32" s="42" t="s">
        <v>320</v>
      </c>
      <c r="E32" s="42" t="s">
        <v>349</v>
      </c>
      <c r="F32" s="42" t="s">
        <v>166</v>
      </c>
      <c r="G32" s="41">
        <v>100</v>
      </c>
      <c r="H32" s="41"/>
      <c r="I32" s="40">
        <f>IF(B32="","",IF(I31="",MASTER!$C$7,I31)+N(H32)-N(G32))</f>
        <v>7530</v>
      </c>
      <c r="J32" s="39">
        <v>19000</v>
      </c>
      <c r="K32" s="22">
        <f t="shared" si="1"/>
        <v>1900000</v>
      </c>
      <c r="L32" s="38" t="str">
        <f t="shared" si="2"/>
        <v/>
      </c>
      <c r="M32" s="37"/>
    </row>
    <row r="33" spans="1:13" x14ac:dyDescent="0.35">
      <c r="A33" s="44" t="str">
        <f t="shared" si="0"/>
        <v>May 2026</v>
      </c>
      <c r="B33" s="43">
        <v>46162</v>
      </c>
      <c r="C33" s="42" t="s">
        <v>232</v>
      </c>
      <c r="D33" s="42" t="s">
        <v>352</v>
      </c>
      <c r="E33" s="42" t="s">
        <v>351</v>
      </c>
      <c r="F33" s="42" t="s">
        <v>157</v>
      </c>
      <c r="G33" s="41">
        <v>70</v>
      </c>
      <c r="H33" s="41"/>
      <c r="I33" s="40">
        <f>IF(B33="","",IF(I32="",MASTER!$C$7,I32)+N(H33)-N(G33))</f>
        <v>7460</v>
      </c>
      <c r="J33" s="39">
        <v>19000</v>
      </c>
      <c r="K33" s="22">
        <f t="shared" si="1"/>
        <v>1330000</v>
      </c>
      <c r="L33" s="38" t="str">
        <f t="shared" si="2"/>
        <v/>
      </c>
      <c r="M33" s="37"/>
    </row>
    <row r="34" spans="1:13" x14ac:dyDescent="0.35">
      <c r="A34" s="44" t="str">
        <f t="shared" si="0"/>
        <v>May 2026</v>
      </c>
      <c r="B34" s="43">
        <v>46162</v>
      </c>
      <c r="C34" s="42" t="s">
        <v>170</v>
      </c>
      <c r="D34" s="42" t="s">
        <v>315</v>
      </c>
      <c r="E34" s="42" t="s">
        <v>349</v>
      </c>
      <c r="F34" s="42" t="s">
        <v>166</v>
      </c>
      <c r="G34" s="41">
        <v>470</v>
      </c>
      <c r="H34" s="41"/>
      <c r="I34" s="40">
        <f>IF(B34="","",IF(I33="",MASTER!$C$7,I33)+N(H34)-N(G34))</f>
        <v>6990</v>
      </c>
      <c r="J34" s="39">
        <v>19000</v>
      </c>
      <c r="K34" s="22">
        <f t="shared" si="1"/>
        <v>8930000</v>
      </c>
      <c r="L34" s="38" t="str">
        <f t="shared" si="2"/>
        <v/>
      </c>
      <c r="M34" s="37"/>
    </row>
    <row r="35" spans="1:13" x14ac:dyDescent="0.35">
      <c r="A35" s="44" t="str">
        <f t="shared" si="0"/>
        <v>May 2026</v>
      </c>
      <c r="B35" s="43">
        <v>46162</v>
      </c>
      <c r="C35" s="42" t="s">
        <v>350</v>
      </c>
      <c r="D35" s="42" t="s">
        <v>270</v>
      </c>
      <c r="E35" s="42" t="s">
        <v>349</v>
      </c>
      <c r="F35" s="42" t="s">
        <v>166</v>
      </c>
      <c r="G35" s="41">
        <v>210</v>
      </c>
      <c r="H35" s="41"/>
      <c r="I35" s="40">
        <f>IF(B35="","",IF(I34="",MASTER!$C$7,I34)+N(H35)-N(G35))</f>
        <v>6780</v>
      </c>
      <c r="J35" s="39">
        <v>19000</v>
      </c>
      <c r="K35" s="22">
        <f t="shared" si="1"/>
        <v>3990000</v>
      </c>
      <c r="L35" s="38" t="str">
        <f t="shared" si="2"/>
        <v/>
      </c>
      <c r="M35" s="37"/>
    </row>
    <row r="36" spans="1:13" x14ac:dyDescent="0.35">
      <c r="A36" s="44" t="str">
        <f t="shared" si="0"/>
        <v>May 2026</v>
      </c>
      <c r="B36" s="43">
        <v>46162</v>
      </c>
      <c r="C36" s="42" t="s">
        <v>159</v>
      </c>
      <c r="D36" s="42" t="s">
        <v>41</v>
      </c>
      <c r="E36" s="42" t="s">
        <v>347</v>
      </c>
      <c r="F36" s="42" t="s">
        <v>157</v>
      </c>
      <c r="G36" s="41">
        <v>110</v>
      </c>
      <c r="H36" s="41"/>
      <c r="I36" s="40">
        <f>IF(B36="","",IF(I35="",MASTER!$C$7,I35)+N(H36)-N(G36))</f>
        <v>6670</v>
      </c>
      <c r="J36" s="39">
        <v>19000</v>
      </c>
      <c r="K36" s="22">
        <f t="shared" si="1"/>
        <v>2090000</v>
      </c>
      <c r="L36" s="38" t="str">
        <f t="shared" si="2"/>
        <v/>
      </c>
      <c r="M36" s="37"/>
    </row>
    <row r="37" spans="1:13" x14ac:dyDescent="0.35">
      <c r="A37" s="44" t="str">
        <f t="shared" si="0"/>
        <v>May 2026</v>
      </c>
      <c r="B37" s="43">
        <v>46162</v>
      </c>
      <c r="C37" s="42" t="s">
        <v>234</v>
      </c>
      <c r="D37" s="42" t="s">
        <v>314</v>
      </c>
      <c r="E37" s="42" t="s">
        <v>347</v>
      </c>
      <c r="F37" s="42" t="s">
        <v>166</v>
      </c>
      <c r="G37" s="41">
        <v>150</v>
      </c>
      <c r="H37" s="41"/>
      <c r="I37" s="40">
        <f>IF(B37="","",IF(I36="",MASTER!$C$7,I36)+N(H37)-N(G37))</f>
        <v>6520</v>
      </c>
      <c r="J37" s="39">
        <v>19000</v>
      </c>
      <c r="K37" s="22">
        <f t="shared" si="1"/>
        <v>2850000</v>
      </c>
      <c r="L37" s="38" t="str">
        <f t="shared" si="2"/>
        <v/>
      </c>
      <c r="M37" s="37"/>
    </row>
    <row r="38" spans="1:13" x14ac:dyDescent="0.35">
      <c r="A38" s="44" t="str">
        <f t="shared" si="0"/>
        <v>May 2026</v>
      </c>
      <c r="B38" s="43">
        <v>46162</v>
      </c>
      <c r="C38" s="42" t="s">
        <v>263</v>
      </c>
      <c r="D38" s="42" t="s">
        <v>319</v>
      </c>
      <c r="E38" s="42" t="s">
        <v>347</v>
      </c>
      <c r="F38" s="42" t="s">
        <v>166</v>
      </c>
      <c r="G38" s="41">
        <v>150</v>
      </c>
      <c r="H38" s="41"/>
      <c r="I38" s="40">
        <f>IF(B38="","",IF(I37="",MASTER!$C$7,I37)+N(H38)-N(G38))</f>
        <v>6370</v>
      </c>
      <c r="J38" s="39">
        <v>19000</v>
      </c>
      <c r="K38" s="22">
        <f t="shared" si="1"/>
        <v>2850000</v>
      </c>
      <c r="L38" s="38" t="str">
        <f t="shared" si="2"/>
        <v/>
      </c>
      <c r="M38" s="37"/>
    </row>
    <row r="39" spans="1:13" x14ac:dyDescent="0.35">
      <c r="A39" s="44" t="str">
        <f t="shared" si="0"/>
        <v>May 2026</v>
      </c>
      <c r="B39" s="43">
        <v>46162</v>
      </c>
      <c r="C39" s="42" t="s">
        <v>197</v>
      </c>
      <c r="D39" s="42" t="s">
        <v>334</v>
      </c>
      <c r="E39" s="42" t="s">
        <v>347</v>
      </c>
      <c r="F39" s="42" t="s">
        <v>166</v>
      </c>
      <c r="G39" s="41">
        <v>150</v>
      </c>
      <c r="H39" s="41"/>
      <c r="I39" s="40">
        <f>IF(B39="","",IF(I38="",MASTER!$C$7,I38)+N(H39)-N(G39))</f>
        <v>6220</v>
      </c>
      <c r="J39" s="39">
        <v>19000</v>
      </c>
      <c r="K39" s="22">
        <f t="shared" si="1"/>
        <v>2850000</v>
      </c>
      <c r="L39" s="38" t="str">
        <f t="shared" si="2"/>
        <v/>
      </c>
      <c r="M39" s="37"/>
    </row>
    <row r="40" spans="1:13" x14ac:dyDescent="0.35">
      <c r="A40" s="44" t="str">
        <f t="shared" si="0"/>
        <v>May 2026</v>
      </c>
      <c r="B40" s="43">
        <v>46162</v>
      </c>
      <c r="C40" s="42" t="s">
        <v>265</v>
      </c>
      <c r="D40" s="42" t="s">
        <v>348</v>
      </c>
      <c r="E40" s="42" t="s">
        <v>347</v>
      </c>
      <c r="F40" s="42" t="s">
        <v>166</v>
      </c>
      <c r="G40" s="41">
        <v>150</v>
      </c>
      <c r="H40" s="41"/>
      <c r="I40" s="40">
        <f>IF(B40="","",IF(I39="",MASTER!$C$7,I39)+N(H40)-N(G40))</f>
        <v>6070</v>
      </c>
      <c r="J40" s="39">
        <v>19000</v>
      </c>
      <c r="K40" s="22">
        <f t="shared" si="1"/>
        <v>2850000</v>
      </c>
      <c r="L40" s="38" t="str">
        <f t="shared" si="2"/>
        <v/>
      </c>
      <c r="M40" s="37"/>
    </row>
    <row r="41" spans="1:13" x14ac:dyDescent="0.35">
      <c r="A41" s="44" t="str">
        <f t="shared" si="0"/>
        <v>May 2026</v>
      </c>
      <c r="B41" s="43">
        <v>46163</v>
      </c>
      <c r="C41" s="42" t="s">
        <v>346</v>
      </c>
      <c r="D41" s="42" t="s">
        <v>345</v>
      </c>
      <c r="E41" s="42" t="s">
        <v>141</v>
      </c>
      <c r="F41" s="42" t="s">
        <v>155</v>
      </c>
      <c r="G41" s="41">
        <v>50</v>
      </c>
      <c r="H41" s="41"/>
      <c r="I41" s="40">
        <f>IF(B41="","",IF(I40="",MASTER!$C$7,I40)+N(H41)-N(G41))</f>
        <v>6020</v>
      </c>
      <c r="J41" s="39">
        <v>19000</v>
      </c>
      <c r="K41" s="22">
        <f t="shared" si="1"/>
        <v>950000</v>
      </c>
      <c r="L41" s="38" t="str">
        <f t="shared" si="2"/>
        <v/>
      </c>
      <c r="M41" s="37"/>
    </row>
    <row r="42" spans="1:13" x14ac:dyDescent="0.35">
      <c r="A42" s="44" t="str">
        <f t="shared" si="0"/>
        <v>May 2026</v>
      </c>
      <c r="B42" s="43">
        <v>46163</v>
      </c>
      <c r="C42" s="42" t="s">
        <v>228</v>
      </c>
      <c r="D42" s="42" t="s">
        <v>344</v>
      </c>
      <c r="E42" s="42" t="s">
        <v>141</v>
      </c>
      <c r="F42" s="42" t="s">
        <v>155</v>
      </c>
      <c r="G42" s="41">
        <v>50</v>
      </c>
      <c r="H42" s="41"/>
      <c r="I42" s="40">
        <f>IF(B42="","",IF(I41="",MASTER!$C$7,I41)+N(H42)-N(G42))</f>
        <v>5970</v>
      </c>
      <c r="J42" s="39">
        <v>19000</v>
      </c>
      <c r="K42" s="22">
        <f t="shared" si="1"/>
        <v>950000</v>
      </c>
      <c r="L42" s="38" t="str">
        <f t="shared" si="2"/>
        <v/>
      </c>
      <c r="M42" s="37"/>
    </row>
    <row r="43" spans="1:13" x14ac:dyDescent="0.35">
      <c r="A43" s="44" t="str">
        <f t="shared" si="0"/>
        <v>May 2026</v>
      </c>
      <c r="B43" s="43">
        <v>46163</v>
      </c>
      <c r="C43" s="42" t="s">
        <v>253</v>
      </c>
      <c r="D43" s="42" t="s">
        <v>343</v>
      </c>
      <c r="E43" s="42" t="s">
        <v>141</v>
      </c>
      <c r="F43" s="42" t="s">
        <v>155</v>
      </c>
      <c r="G43" s="41">
        <v>50</v>
      </c>
      <c r="H43" s="41"/>
      <c r="I43" s="40">
        <f>IF(B43="","",IF(I42="",MASTER!$C$7,I42)+N(H43)-N(G43))</f>
        <v>5920</v>
      </c>
      <c r="J43" s="39">
        <v>19000</v>
      </c>
      <c r="K43" s="22">
        <f t="shared" si="1"/>
        <v>950000</v>
      </c>
      <c r="L43" s="38" t="str">
        <f t="shared" si="2"/>
        <v/>
      </c>
      <c r="M43" s="37"/>
    </row>
    <row r="44" spans="1:13" x14ac:dyDescent="0.35">
      <c r="A44" s="44" t="str">
        <f t="shared" si="0"/>
        <v>May 2026</v>
      </c>
      <c r="B44" s="43">
        <v>46163</v>
      </c>
      <c r="C44" s="42" t="s">
        <v>303</v>
      </c>
      <c r="D44" s="42" t="s">
        <v>342</v>
      </c>
      <c r="E44" s="42" t="s">
        <v>141</v>
      </c>
      <c r="F44" s="42" t="s">
        <v>155</v>
      </c>
      <c r="G44" s="41">
        <v>50</v>
      </c>
      <c r="H44" s="41"/>
      <c r="I44" s="40">
        <f>IF(B44="","",IF(I43="",MASTER!$C$7,I43)+N(H44)-N(G44))</f>
        <v>5870</v>
      </c>
      <c r="J44" s="39">
        <v>19000</v>
      </c>
      <c r="K44" s="22">
        <f t="shared" si="1"/>
        <v>950000</v>
      </c>
      <c r="L44" s="38" t="str">
        <f t="shared" si="2"/>
        <v/>
      </c>
      <c r="M44" s="37"/>
    </row>
    <row r="45" spans="1:13" x14ac:dyDescent="0.35">
      <c r="A45" s="44" t="str">
        <f t="shared" si="0"/>
        <v>May 2026</v>
      </c>
      <c r="B45" s="43">
        <v>46163</v>
      </c>
      <c r="C45" s="42" t="s">
        <v>178</v>
      </c>
      <c r="D45" s="42" t="s">
        <v>341</v>
      </c>
      <c r="E45" s="42" t="s">
        <v>141</v>
      </c>
      <c r="F45" s="42" t="s">
        <v>155</v>
      </c>
      <c r="G45" s="41">
        <v>50</v>
      </c>
      <c r="H45" s="41"/>
      <c r="I45" s="40">
        <f>IF(B45="","",IF(I44="",MASTER!$C$7,I44)+N(H45)-N(G45))</f>
        <v>5820</v>
      </c>
      <c r="J45" s="39">
        <v>19000</v>
      </c>
      <c r="K45" s="22">
        <f t="shared" si="1"/>
        <v>950000</v>
      </c>
      <c r="L45" s="38" t="str">
        <f t="shared" si="2"/>
        <v/>
      </c>
      <c r="M45" s="37"/>
    </row>
    <row r="46" spans="1:13" x14ac:dyDescent="0.35">
      <c r="A46" s="44" t="str">
        <f t="shared" si="0"/>
        <v>May 2026</v>
      </c>
      <c r="B46" s="43">
        <v>46163</v>
      </c>
      <c r="C46" s="42" t="s">
        <v>340</v>
      </c>
      <c r="D46" s="42" t="s">
        <v>339</v>
      </c>
      <c r="E46" s="42" t="s">
        <v>141</v>
      </c>
      <c r="F46" s="42" t="s">
        <v>245</v>
      </c>
      <c r="G46" s="41">
        <v>300</v>
      </c>
      <c r="H46" s="41"/>
      <c r="I46" s="40">
        <f>IF(B46="","",IF(I45="",MASTER!$C$7,I45)+N(H46)-N(G46))</f>
        <v>5520</v>
      </c>
      <c r="J46" s="39">
        <v>19000</v>
      </c>
      <c r="K46" s="22">
        <f t="shared" si="1"/>
        <v>5700000</v>
      </c>
      <c r="L46" s="38" t="str">
        <f t="shared" si="2"/>
        <v/>
      </c>
      <c r="M46" s="37"/>
    </row>
    <row r="47" spans="1:13" x14ac:dyDescent="0.35">
      <c r="A47" s="44" t="str">
        <f t="shared" si="0"/>
        <v>May 2026</v>
      </c>
      <c r="B47" s="43">
        <v>46163</v>
      </c>
      <c r="C47" s="42" t="s">
        <v>247</v>
      </c>
      <c r="D47" s="42" t="s">
        <v>338</v>
      </c>
      <c r="E47" s="42" t="s">
        <v>141</v>
      </c>
      <c r="F47" s="42" t="s">
        <v>245</v>
      </c>
      <c r="G47" s="41">
        <v>300</v>
      </c>
      <c r="H47" s="41"/>
      <c r="I47" s="40">
        <f>IF(B47="","",IF(I46="",MASTER!$C$7,I46)+N(H47)-N(G47))</f>
        <v>5220</v>
      </c>
      <c r="J47" s="39">
        <v>19000</v>
      </c>
      <c r="K47" s="22">
        <f t="shared" si="1"/>
        <v>5700000</v>
      </c>
      <c r="L47" s="38" t="str">
        <f t="shared" si="2"/>
        <v/>
      </c>
      <c r="M47" s="37"/>
    </row>
    <row r="48" spans="1:13" x14ac:dyDescent="0.35">
      <c r="A48" s="44" t="str">
        <f t="shared" si="0"/>
        <v>May 2026</v>
      </c>
      <c r="B48" s="43">
        <v>46163</v>
      </c>
      <c r="C48" s="42" t="s">
        <v>337</v>
      </c>
      <c r="D48" s="42" t="s">
        <v>336</v>
      </c>
      <c r="E48" s="42" t="s">
        <v>141</v>
      </c>
      <c r="F48" s="42" t="s">
        <v>245</v>
      </c>
      <c r="G48" s="41">
        <v>300</v>
      </c>
      <c r="H48" s="41"/>
      <c r="I48" s="40">
        <f>IF(B48="","",IF(I47="",MASTER!$C$7,I47)+N(H48)-N(G48))</f>
        <v>4920</v>
      </c>
      <c r="J48" s="39">
        <v>19000</v>
      </c>
      <c r="K48" s="22">
        <f t="shared" si="1"/>
        <v>5700000</v>
      </c>
      <c r="L48" s="38" t="str">
        <f t="shared" si="2"/>
        <v/>
      </c>
      <c r="M48" s="37"/>
    </row>
    <row r="49" spans="1:13" x14ac:dyDescent="0.35">
      <c r="A49" s="44" t="str">
        <f t="shared" si="0"/>
        <v>May 2026</v>
      </c>
      <c r="B49" s="43">
        <v>46163</v>
      </c>
      <c r="C49" s="42" t="s">
        <v>274</v>
      </c>
      <c r="D49" s="42" t="s">
        <v>40</v>
      </c>
      <c r="E49" s="42" t="s">
        <v>322</v>
      </c>
      <c r="F49" s="42" t="s">
        <v>157</v>
      </c>
      <c r="G49" s="41">
        <v>50</v>
      </c>
      <c r="H49" s="41"/>
      <c r="I49" s="40">
        <f>IF(B49="","",IF(I48="",MASTER!$C$7,I48)+N(H49)-N(G49))</f>
        <v>4870</v>
      </c>
      <c r="J49" s="39">
        <v>19000</v>
      </c>
      <c r="K49" s="22">
        <f t="shared" si="1"/>
        <v>950000</v>
      </c>
      <c r="L49" s="38" t="str">
        <f t="shared" si="2"/>
        <v/>
      </c>
      <c r="M49" s="37"/>
    </row>
    <row r="50" spans="1:13" x14ac:dyDescent="0.35">
      <c r="A50" s="44" t="str">
        <f t="shared" si="0"/>
        <v>May 2026</v>
      </c>
      <c r="B50" s="43">
        <v>46163</v>
      </c>
      <c r="C50" s="42" t="s">
        <v>60</v>
      </c>
      <c r="D50" s="42" t="s">
        <v>259</v>
      </c>
      <c r="E50" s="42" t="s">
        <v>54</v>
      </c>
      <c r="F50" s="42" t="s">
        <v>166</v>
      </c>
      <c r="G50" s="41">
        <v>50</v>
      </c>
      <c r="H50" s="41"/>
      <c r="I50" s="40">
        <f>IF(B50="","",IF(I49="",MASTER!$C$7,I49)+N(H50)-N(G50))</f>
        <v>4820</v>
      </c>
      <c r="J50" s="39">
        <v>19000</v>
      </c>
      <c r="K50" s="22">
        <f t="shared" si="1"/>
        <v>950000</v>
      </c>
      <c r="L50" s="38" t="str">
        <f t="shared" si="2"/>
        <v/>
      </c>
      <c r="M50" s="37"/>
    </row>
    <row r="51" spans="1:13" x14ac:dyDescent="0.35">
      <c r="A51" s="44" t="str">
        <f t="shared" si="0"/>
        <v>May 2026</v>
      </c>
      <c r="B51" s="43">
        <v>46163</v>
      </c>
      <c r="C51" s="42" t="s">
        <v>202</v>
      </c>
      <c r="D51" s="42" t="s">
        <v>201</v>
      </c>
      <c r="E51" s="42" t="s">
        <v>141</v>
      </c>
      <c r="F51" s="42" t="s">
        <v>166</v>
      </c>
      <c r="G51" s="41">
        <v>70</v>
      </c>
      <c r="H51" s="41"/>
      <c r="I51" s="40">
        <f>IF(B51="","",IF(I50="",MASTER!$C$7,I50)+N(H51)-N(G51))</f>
        <v>4750</v>
      </c>
      <c r="J51" s="39">
        <v>19000</v>
      </c>
      <c r="K51" s="22">
        <f t="shared" si="1"/>
        <v>1330000</v>
      </c>
      <c r="L51" s="38" t="str">
        <f t="shared" si="2"/>
        <v/>
      </c>
      <c r="M51" s="37"/>
    </row>
    <row r="52" spans="1:13" x14ac:dyDescent="0.35">
      <c r="A52" s="44" t="str">
        <f t="shared" si="0"/>
        <v>May 2026</v>
      </c>
      <c r="B52" s="43">
        <v>46163</v>
      </c>
      <c r="C52" s="42" t="s">
        <v>192</v>
      </c>
      <c r="D52" s="42" t="s">
        <v>191</v>
      </c>
      <c r="E52" s="42" t="s">
        <v>141</v>
      </c>
      <c r="F52" s="42" t="s">
        <v>166</v>
      </c>
      <c r="G52" s="41">
        <v>100</v>
      </c>
      <c r="H52" s="41"/>
      <c r="I52" s="40">
        <f>IF(B52="","",IF(I51="",MASTER!$C$7,I51)+N(H52)-N(G52))</f>
        <v>4650</v>
      </c>
      <c r="J52" s="39">
        <v>19000</v>
      </c>
      <c r="K52" s="22">
        <f t="shared" si="1"/>
        <v>1900000</v>
      </c>
      <c r="L52" s="38" t="str">
        <f t="shared" si="2"/>
        <v/>
      </c>
      <c r="M52" s="37"/>
    </row>
    <row r="53" spans="1:13" x14ac:dyDescent="0.35">
      <c r="A53" s="44" t="str">
        <f t="shared" si="0"/>
        <v>May 2026</v>
      </c>
      <c r="B53" s="43">
        <v>46163</v>
      </c>
      <c r="C53" s="42" t="s">
        <v>195</v>
      </c>
      <c r="D53" s="42" t="s">
        <v>244</v>
      </c>
      <c r="E53" s="42" t="s">
        <v>141</v>
      </c>
      <c r="F53" s="42" t="s">
        <v>166</v>
      </c>
      <c r="G53" s="41">
        <v>50</v>
      </c>
      <c r="H53" s="41"/>
      <c r="I53" s="40">
        <f>IF(B53="","",IF(I52="",MASTER!$C$7,I52)+N(H53)-N(G53))</f>
        <v>4600</v>
      </c>
      <c r="J53" s="39">
        <v>19000</v>
      </c>
      <c r="K53" s="22">
        <f t="shared" si="1"/>
        <v>950000</v>
      </c>
      <c r="L53" s="38" t="str">
        <f t="shared" si="2"/>
        <v/>
      </c>
      <c r="M53" s="37"/>
    </row>
    <row r="54" spans="1:13" x14ac:dyDescent="0.35">
      <c r="A54" s="44" t="str">
        <f t="shared" si="0"/>
        <v>May 2026</v>
      </c>
      <c r="B54" s="43">
        <v>46163</v>
      </c>
      <c r="C54" s="42" t="s">
        <v>99</v>
      </c>
      <c r="D54" s="42" t="s">
        <v>257</v>
      </c>
      <c r="E54" s="42" t="s">
        <v>141</v>
      </c>
      <c r="F54" s="42" t="s">
        <v>166</v>
      </c>
      <c r="G54" s="41">
        <v>50</v>
      </c>
      <c r="H54" s="41"/>
      <c r="I54" s="40">
        <f>IF(B54="","",IF(I53="",MASTER!$C$7,I53)+N(H54)-N(G54))</f>
        <v>4550</v>
      </c>
      <c r="J54" s="39">
        <v>19000</v>
      </c>
      <c r="K54" s="22">
        <f t="shared" si="1"/>
        <v>950000</v>
      </c>
      <c r="L54" s="38" t="str">
        <f t="shared" si="2"/>
        <v/>
      </c>
      <c r="M54" s="37"/>
    </row>
    <row r="55" spans="1:13" x14ac:dyDescent="0.35">
      <c r="A55" s="44" t="str">
        <f t="shared" si="0"/>
        <v>May 2026</v>
      </c>
      <c r="B55" s="43">
        <v>46163</v>
      </c>
      <c r="C55" s="42" t="s">
        <v>275</v>
      </c>
      <c r="D55" s="42" t="s">
        <v>194</v>
      </c>
      <c r="E55" s="42" t="s">
        <v>141</v>
      </c>
      <c r="F55" s="42" t="s">
        <v>166</v>
      </c>
      <c r="G55" s="41">
        <v>50</v>
      </c>
      <c r="H55" s="41"/>
      <c r="I55" s="40">
        <f>IF(B55="","",IF(I54="",MASTER!$C$7,I54)+N(H55)-N(G55))</f>
        <v>4500</v>
      </c>
      <c r="J55" s="39">
        <v>19000</v>
      </c>
      <c r="K55" s="22">
        <f t="shared" si="1"/>
        <v>950000</v>
      </c>
      <c r="L55" s="38" t="str">
        <f t="shared" si="2"/>
        <v/>
      </c>
      <c r="M55" s="37"/>
    </row>
    <row r="56" spans="1:13" x14ac:dyDescent="0.35">
      <c r="A56" s="44" t="str">
        <f t="shared" si="0"/>
        <v>May 2026</v>
      </c>
      <c r="B56" s="43">
        <v>46163</v>
      </c>
      <c r="C56" s="42" t="s">
        <v>235</v>
      </c>
      <c r="D56" s="42" t="s">
        <v>320</v>
      </c>
      <c r="E56" s="42" t="s">
        <v>54</v>
      </c>
      <c r="F56" s="42" t="s">
        <v>166</v>
      </c>
      <c r="G56" s="41">
        <v>250</v>
      </c>
      <c r="H56" s="41"/>
      <c r="I56" s="40">
        <f>IF(B56="","",IF(I55="",MASTER!$C$7,I55)+N(H56)-N(G56))</f>
        <v>4250</v>
      </c>
      <c r="J56" s="39">
        <v>19000</v>
      </c>
      <c r="K56" s="22">
        <f t="shared" si="1"/>
        <v>4750000</v>
      </c>
      <c r="L56" s="38" t="str">
        <f t="shared" si="2"/>
        <v/>
      </c>
      <c r="M56" s="37"/>
    </row>
    <row r="57" spans="1:13" x14ac:dyDescent="0.35">
      <c r="A57" s="44" t="str">
        <f t="shared" si="0"/>
        <v>May 2026</v>
      </c>
      <c r="B57" s="43">
        <v>46163</v>
      </c>
      <c r="C57" s="42" t="s">
        <v>159</v>
      </c>
      <c r="D57" s="42" t="s">
        <v>41</v>
      </c>
      <c r="E57" s="42" t="s">
        <v>158</v>
      </c>
      <c r="F57" s="42" t="s">
        <v>157</v>
      </c>
      <c r="G57" s="41">
        <v>100</v>
      </c>
      <c r="H57" s="41"/>
      <c r="I57" s="40">
        <f>IF(B57="","",IF(I56="",MASTER!$C$7,I56)+N(H57)-N(G57))</f>
        <v>4150</v>
      </c>
      <c r="J57" s="39">
        <v>19000</v>
      </c>
      <c r="K57" s="22">
        <f t="shared" si="1"/>
        <v>1900000</v>
      </c>
      <c r="L57" s="38" t="str">
        <f t="shared" si="2"/>
        <v/>
      </c>
      <c r="M57" s="37"/>
    </row>
    <row r="58" spans="1:13" x14ac:dyDescent="0.35">
      <c r="A58" s="44" t="str">
        <f t="shared" si="0"/>
        <v>May 2026</v>
      </c>
      <c r="B58" s="43">
        <v>46163</v>
      </c>
      <c r="C58" s="42" t="s">
        <v>265</v>
      </c>
      <c r="D58" s="42" t="s">
        <v>335</v>
      </c>
      <c r="E58" s="42" t="s">
        <v>54</v>
      </c>
      <c r="F58" s="42" t="s">
        <v>166</v>
      </c>
      <c r="G58" s="41">
        <v>300</v>
      </c>
      <c r="H58" s="41"/>
      <c r="I58" s="40">
        <f>IF(B58="","",IF(I57="",MASTER!$C$7,I57)+N(H58)-N(G58))</f>
        <v>3850</v>
      </c>
      <c r="J58" s="39">
        <v>19000</v>
      </c>
      <c r="K58" s="22">
        <f t="shared" si="1"/>
        <v>5700000</v>
      </c>
      <c r="L58" s="38" t="str">
        <f t="shared" si="2"/>
        <v/>
      </c>
      <c r="M58" s="37"/>
    </row>
    <row r="59" spans="1:13" x14ac:dyDescent="0.35">
      <c r="A59" s="44" t="str">
        <f t="shared" si="0"/>
        <v>May 2026</v>
      </c>
      <c r="B59" s="43">
        <v>46163</v>
      </c>
      <c r="C59" s="42" t="s">
        <v>263</v>
      </c>
      <c r="D59" s="42" t="s">
        <v>319</v>
      </c>
      <c r="E59" s="42" t="s">
        <v>54</v>
      </c>
      <c r="F59" s="42" t="s">
        <v>166</v>
      </c>
      <c r="G59" s="41">
        <v>237</v>
      </c>
      <c r="H59" s="41"/>
      <c r="I59" s="40">
        <f>IF(B59="","",IF(I58="",MASTER!$C$7,I58)+N(H59)-N(G59))</f>
        <v>3613</v>
      </c>
      <c r="J59" s="39">
        <v>19000</v>
      </c>
      <c r="K59" s="22">
        <f t="shared" si="1"/>
        <v>4503000</v>
      </c>
      <c r="L59" s="38" t="str">
        <f t="shared" si="2"/>
        <v/>
      </c>
      <c r="M59" s="37"/>
    </row>
    <row r="60" spans="1:13" x14ac:dyDescent="0.35">
      <c r="A60" s="44" t="str">
        <f t="shared" si="0"/>
        <v>May 2026</v>
      </c>
      <c r="B60" s="43">
        <v>46163</v>
      </c>
      <c r="C60" s="42" t="s">
        <v>286</v>
      </c>
      <c r="D60" s="42" t="s">
        <v>167</v>
      </c>
      <c r="E60" s="42" t="s">
        <v>54</v>
      </c>
      <c r="F60" s="42" t="s">
        <v>166</v>
      </c>
      <c r="G60" s="41">
        <v>100</v>
      </c>
      <c r="H60" s="41"/>
      <c r="I60" s="40">
        <f>IF(B60="","",IF(I59="",MASTER!$C$7,I59)+N(H60)-N(G60))</f>
        <v>3513</v>
      </c>
      <c r="J60" s="39">
        <v>19000</v>
      </c>
      <c r="K60" s="22">
        <f t="shared" si="1"/>
        <v>1900000</v>
      </c>
      <c r="L60" s="38" t="str">
        <f t="shared" si="2"/>
        <v/>
      </c>
      <c r="M60" s="37"/>
    </row>
    <row r="61" spans="1:13" x14ac:dyDescent="0.35">
      <c r="A61" s="44" t="str">
        <f t="shared" si="0"/>
        <v>May 2026</v>
      </c>
      <c r="B61" s="43">
        <v>46163</v>
      </c>
      <c r="C61" s="42" t="s">
        <v>197</v>
      </c>
      <c r="D61" s="42" t="s">
        <v>334</v>
      </c>
      <c r="E61" s="42" t="s">
        <v>54</v>
      </c>
      <c r="F61" s="42" t="s">
        <v>166</v>
      </c>
      <c r="G61" s="41">
        <v>270</v>
      </c>
      <c r="H61" s="41"/>
      <c r="I61" s="40">
        <f>IF(B61="","",IF(I60="",MASTER!$C$7,I60)+N(H61)-N(G61))</f>
        <v>3243</v>
      </c>
      <c r="J61" s="39">
        <v>19000</v>
      </c>
      <c r="K61" s="22">
        <f t="shared" si="1"/>
        <v>5130000</v>
      </c>
      <c r="L61" s="38" t="str">
        <f t="shared" si="2"/>
        <v/>
      </c>
      <c r="M61" s="37"/>
    </row>
    <row r="62" spans="1:13" x14ac:dyDescent="0.35">
      <c r="A62" s="44" t="str">
        <f t="shared" si="0"/>
        <v>May 2026</v>
      </c>
      <c r="B62" s="43">
        <v>46164</v>
      </c>
      <c r="C62" s="42" t="s">
        <v>176</v>
      </c>
      <c r="D62" s="42" t="s">
        <v>220</v>
      </c>
      <c r="E62" s="42" t="s">
        <v>141</v>
      </c>
      <c r="F62" s="42" t="s">
        <v>155</v>
      </c>
      <c r="G62" s="41">
        <v>50</v>
      </c>
      <c r="H62" s="41">
        <v>10000</v>
      </c>
      <c r="I62" s="40">
        <f>IF(B62="","",IF(I61="",MASTER!$C$7,I61)+N(H62)-N(G62))</f>
        <v>13193</v>
      </c>
      <c r="J62" s="39">
        <v>19000</v>
      </c>
      <c r="K62" s="22">
        <f t="shared" si="1"/>
        <v>950000</v>
      </c>
      <c r="L62" s="38">
        <f t="shared" si="2"/>
        <v>190000000</v>
      </c>
      <c r="M62" s="37"/>
    </row>
    <row r="63" spans="1:13" x14ac:dyDescent="0.35">
      <c r="A63" s="44" t="str">
        <f t="shared" si="0"/>
        <v>May 2026</v>
      </c>
      <c r="B63" s="43">
        <v>46164</v>
      </c>
      <c r="C63" s="42" t="s">
        <v>215</v>
      </c>
      <c r="D63" s="42" t="s">
        <v>214</v>
      </c>
      <c r="E63" s="42" t="s">
        <v>141</v>
      </c>
      <c r="F63" s="42" t="s">
        <v>155</v>
      </c>
      <c r="G63" s="41">
        <v>50</v>
      </c>
      <c r="H63" s="41"/>
      <c r="I63" s="40">
        <f>IF(B63="","",IF(I62="",MASTER!$C$7,I62)+N(H63)-N(G63))</f>
        <v>13143</v>
      </c>
      <c r="J63" s="39">
        <v>19000</v>
      </c>
      <c r="K63" s="22">
        <f t="shared" si="1"/>
        <v>950000</v>
      </c>
      <c r="L63" s="38" t="str">
        <f t="shared" si="2"/>
        <v/>
      </c>
      <c r="M63" s="37"/>
    </row>
    <row r="64" spans="1:13" x14ac:dyDescent="0.35">
      <c r="A64" s="44" t="str">
        <f t="shared" si="0"/>
        <v>May 2026</v>
      </c>
      <c r="B64" s="43">
        <v>46164</v>
      </c>
      <c r="C64" s="42" t="s">
        <v>333</v>
      </c>
      <c r="D64" s="42" t="s">
        <v>332</v>
      </c>
      <c r="E64" s="42" t="s">
        <v>141</v>
      </c>
      <c r="F64" s="42" t="s">
        <v>155</v>
      </c>
      <c r="G64" s="41">
        <v>50</v>
      </c>
      <c r="H64" s="41"/>
      <c r="I64" s="40">
        <f>IF(B64="","",IF(I63="",MASTER!$C$7,I63)+N(H64)-N(G64))</f>
        <v>13093</v>
      </c>
      <c r="J64" s="39">
        <v>19000</v>
      </c>
      <c r="K64" s="22">
        <f t="shared" si="1"/>
        <v>950000</v>
      </c>
      <c r="L64" s="38" t="str">
        <f t="shared" si="2"/>
        <v/>
      </c>
      <c r="M64" s="37"/>
    </row>
    <row r="65" spans="1:13" x14ac:dyDescent="0.35">
      <c r="A65" s="44" t="str">
        <f t="shared" si="0"/>
        <v>May 2026</v>
      </c>
      <c r="B65" s="43">
        <v>46164</v>
      </c>
      <c r="C65" s="42" t="s">
        <v>323</v>
      </c>
      <c r="D65" s="42" t="s">
        <v>226</v>
      </c>
      <c r="E65" s="42" t="s">
        <v>141</v>
      </c>
      <c r="F65" s="42" t="s">
        <v>155</v>
      </c>
      <c r="G65" s="41">
        <v>50</v>
      </c>
      <c r="H65" s="41"/>
      <c r="I65" s="40">
        <f>IF(B65="","",IF(I64="",MASTER!$C$7,I64)+N(H65)-N(G65))</f>
        <v>13043</v>
      </c>
      <c r="J65" s="39">
        <v>19000</v>
      </c>
      <c r="K65" s="22">
        <f t="shared" si="1"/>
        <v>950000</v>
      </c>
      <c r="L65" s="38" t="str">
        <f t="shared" si="2"/>
        <v/>
      </c>
      <c r="M65" s="37"/>
    </row>
    <row r="66" spans="1:13" x14ac:dyDescent="0.35">
      <c r="A66" s="44" t="str">
        <f t="shared" si="0"/>
        <v>May 2026</v>
      </c>
      <c r="B66" s="43">
        <v>46164</v>
      </c>
      <c r="C66" s="42" t="s">
        <v>250</v>
      </c>
      <c r="D66" s="42" t="s">
        <v>326</v>
      </c>
      <c r="E66" s="42" t="s">
        <v>141</v>
      </c>
      <c r="F66" s="42" t="s">
        <v>155</v>
      </c>
      <c r="G66" s="41">
        <v>50</v>
      </c>
      <c r="H66" s="41"/>
      <c r="I66" s="40">
        <f>IF(B66="","",IF(I65="",MASTER!$C$7,I65)+N(H66)-N(G66))</f>
        <v>12993</v>
      </c>
      <c r="J66" s="39">
        <v>19000</v>
      </c>
      <c r="K66" s="22">
        <f t="shared" si="1"/>
        <v>950000</v>
      </c>
      <c r="L66" s="38" t="str">
        <f t="shared" si="2"/>
        <v/>
      </c>
      <c r="M66" s="37"/>
    </row>
    <row r="67" spans="1:13" x14ac:dyDescent="0.35">
      <c r="A67" s="44" t="str">
        <f t="shared" ref="A67:A130" si="3">IF(B67="","",TEXT(B67,"MMMM YYYY"))</f>
        <v>May 2026</v>
      </c>
      <c r="B67" s="43">
        <v>46164</v>
      </c>
      <c r="C67" s="42" t="s">
        <v>184</v>
      </c>
      <c r="D67" s="42" t="s">
        <v>221</v>
      </c>
      <c r="E67" s="42" t="s">
        <v>141</v>
      </c>
      <c r="F67" s="42" t="s">
        <v>155</v>
      </c>
      <c r="G67" s="41">
        <v>50</v>
      </c>
      <c r="H67" s="41"/>
      <c r="I67" s="40">
        <f>IF(B67="","",IF(I66="",MASTER!$C$7,I66)+N(H67)-N(G67))</f>
        <v>12943</v>
      </c>
      <c r="J67" s="39">
        <v>19000</v>
      </c>
      <c r="K67" s="22">
        <f t="shared" ref="K67:K130" si="4">IF(OR(B67="",J67=""),"",N(G67)*J67)</f>
        <v>950000</v>
      </c>
      <c r="L67" s="38" t="str">
        <f t="shared" ref="L67:L130" si="5">IF(OR(B67="",H67="",J67=""),"",N(H67)*J67)</f>
        <v/>
      </c>
      <c r="M67" s="37"/>
    </row>
    <row r="68" spans="1:13" x14ac:dyDescent="0.35">
      <c r="A68" s="44" t="str">
        <f t="shared" si="3"/>
        <v>May 2026</v>
      </c>
      <c r="B68" s="43">
        <v>46164</v>
      </c>
      <c r="C68" s="42" t="s">
        <v>202</v>
      </c>
      <c r="D68" s="42" t="s">
        <v>201</v>
      </c>
      <c r="E68" s="42" t="s">
        <v>141</v>
      </c>
      <c r="F68" s="42" t="s">
        <v>166</v>
      </c>
      <c r="G68" s="41">
        <v>125</v>
      </c>
      <c r="H68" s="41"/>
      <c r="I68" s="40">
        <f>IF(B68="","",IF(I67="",MASTER!$C$7,I67)+N(H68)-N(G68))</f>
        <v>12818</v>
      </c>
      <c r="J68" s="39">
        <v>19000</v>
      </c>
      <c r="K68" s="22">
        <f t="shared" si="4"/>
        <v>2375000</v>
      </c>
      <c r="L68" s="38" t="str">
        <f t="shared" si="5"/>
        <v/>
      </c>
      <c r="M68" s="37"/>
    </row>
    <row r="69" spans="1:13" x14ac:dyDescent="0.35">
      <c r="A69" s="44" t="str">
        <f t="shared" si="3"/>
        <v>May 2026</v>
      </c>
      <c r="B69" s="43">
        <v>46164</v>
      </c>
      <c r="C69" s="42" t="s">
        <v>99</v>
      </c>
      <c r="D69" s="42" t="s">
        <v>257</v>
      </c>
      <c r="E69" s="42" t="s">
        <v>141</v>
      </c>
      <c r="F69" s="42" t="s">
        <v>166</v>
      </c>
      <c r="G69" s="41">
        <v>95</v>
      </c>
      <c r="H69" s="41"/>
      <c r="I69" s="40">
        <f>IF(B69="","",IF(I68="",MASTER!$C$7,I68)+N(H69)-N(G69))</f>
        <v>12723</v>
      </c>
      <c r="J69" s="39">
        <v>19000</v>
      </c>
      <c r="K69" s="22">
        <f t="shared" si="4"/>
        <v>1805000</v>
      </c>
      <c r="L69" s="38" t="str">
        <f t="shared" si="5"/>
        <v/>
      </c>
      <c r="M69" s="37"/>
    </row>
    <row r="70" spans="1:13" x14ac:dyDescent="0.35">
      <c r="A70" s="44" t="str">
        <f t="shared" si="3"/>
        <v>May 2026</v>
      </c>
      <c r="B70" s="43">
        <v>46164</v>
      </c>
      <c r="C70" s="42" t="s">
        <v>195</v>
      </c>
      <c r="D70" s="42" t="s">
        <v>244</v>
      </c>
      <c r="E70" s="42" t="s">
        <v>141</v>
      </c>
      <c r="F70" s="42" t="s">
        <v>166</v>
      </c>
      <c r="G70" s="41">
        <v>110</v>
      </c>
      <c r="H70" s="41"/>
      <c r="I70" s="40">
        <f>IF(B70="","",IF(I69="",MASTER!$C$7,I69)+N(H70)-N(G70))</f>
        <v>12613</v>
      </c>
      <c r="J70" s="39">
        <v>19000</v>
      </c>
      <c r="K70" s="22">
        <f t="shared" si="4"/>
        <v>2090000</v>
      </c>
      <c r="L70" s="38" t="str">
        <f t="shared" si="5"/>
        <v/>
      </c>
      <c r="M70" s="37"/>
    </row>
    <row r="71" spans="1:13" x14ac:dyDescent="0.35">
      <c r="A71" s="44" t="str">
        <f t="shared" si="3"/>
        <v>May 2026</v>
      </c>
      <c r="B71" s="43">
        <v>46164</v>
      </c>
      <c r="C71" s="42" t="s">
        <v>192</v>
      </c>
      <c r="D71" s="42" t="s">
        <v>191</v>
      </c>
      <c r="E71" s="42" t="s">
        <v>141</v>
      </c>
      <c r="F71" s="42" t="s">
        <v>166</v>
      </c>
      <c r="G71" s="41">
        <v>100</v>
      </c>
      <c r="H71" s="41"/>
      <c r="I71" s="40">
        <f>IF(B71="","",IF(I70="",MASTER!$C$7,I70)+N(H71)-N(G71))</f>
        <v>12513</v>
      </c>
      <c r="J71" s="39">
        <v>19000</v>
      </c>
      <c r="K71" s="22">
        <f t="shared" si="4"/>
        <v>1900000</v>
      </c>
      <c r="L71" s="38" t="str">
        <f t="shared" si="5"/>
        <v/>
      </c>
      <c r="M71" s="37"/>
    </row>
    <row r="72" spans="1:13" x14ac:dyDescent="0.35">
      <c r="A72" s="44" t="str">
        <f t="shared" si="3"/>
        <v>May 2026</v>
      </c>
      <c r="B72" s="43">
        <v>46164</v>
      </c>
      <c r="C72" s="42" t="s">
        <v>331</v>
      </c>
      <c r="D72" s="42" t="s">
        <v>330</v>
      </c>
      <c r="E72" s="42" t="s">
        <v>329</v>
      </c>
      <c r="F72" s="42" t="s">
        <v>166</v>
      </c>
      <c r="G72" s="41">
        <v>70</v>
      </c>
      <c r="H72" s="41"/>
      <c r="I72" s="40">
        <f>IF(B72="","",IF(I71="",MASTER!$C$7,I71)+N(H72)-N(G72))</f>
        <v>12443</v>
      </c>
      <c r="J72" s="39">
        <v>19000</v>
      </c>
      <c r="K72" s="22">
        <f t="shared" si="4"/>
        <v>1330000</v>
      </c>
      <c r="L72" s="38" t="str">
        <f t="shared" si="5"/>
        <v/>
      </c>
      <c r="M72" s="37"/>
    </row>
    <row r="73" spans="1:13" x14ac:dyDescent="0.35">
      <c r="A73" s="44" t="str">
        <f t="shared" si="3"/>
        <v>May 2026</v>
      </c>
      <c r="B73" s="43">
        <v>46164</v>
      </c>
      <c r="C73" s="42" t="s">
        <v>275</v>
      </c>
      <c r="D73" s="42" t="s">
        <v>194</v>
      </c>
      <c r="E73" s="42" t="s">
        <v>141</v>
      </c>
      <c r="F73" s="42" t="s">
        <v>166</v>
      </c>
      <c r="G73" s="41">
        <v>85</v>
      </c>
      <c r="H73" s="41"/>
      <c r="I73" s="40">
        <f>IF(B73="","",IF(I72="",MASTER!$C$7,I72)+N(H73)-N(G73))</f>
        <v>12358</v>
      </c>
      <c r="J73" s="39">
        <v>19000</v>
      </c>
      <c r="K73" s="22">
        <f t="shared" si="4"/>
        <v>1615000</v>
      </c>
      <c r="L73" s="38" t="str">
        <f t="shared" si="5"/>
        <v/>
      </c>
      <c r="M73" s="37"/>
    </row>
    <row r="74" spans="1:13" x14ac:dyDescent="0.35">
      <c r="A74" s="44" t="str">
        <f t="shared" si="3"/>
        <v>May 2026</v>
      </c>
      <c r="B74" s="43">
        <v>46164</v>
      </c>
      <c r="C74" s="42" t="s">
        <v>170</v>
      </c>
      <c r="D74" s="42" t="s">
        <v>315</v>
      </c>
      <c r="E74" s="42" t="s">
        <v>54</v>
      </c>
      <c r="F74" s="42" t="s">
        <v>166</v>
      </c>
      <c r="G74" s="41">
        <v>245</v>
      </c>
      <c r="H74" s="41"/>
      <c r="I74" s="40">
        <f>IF(B74="","",IF(I73="",MASTER!$C$7,I73)+N(H74)-N(G74))</f>
        <v>12113</v>
      </c>
      <c r="J74" s="39">
        <v>19000</v>
      </c>
      <c r="K74" s="22">
        <f t="shared" si="4"/>
        <v>4655000</v>
      </c>
      <c r="L74" s="38" t="str">
        <f t="shared" si="5"/>
        <v/>
      </c>
      <c r="M74" s="37"/>
    </row>
    <row r="75" spans="1:13" x14ac:dyDescent="0.35">
      <c r="A75" s="44" t="str">
        <f t="shared" si="3"/>
        <v>May 2026</v>
      </c>
      <c r="B75" s="43">
        <v>46164</v>
      </c>
      <c r="C75" s="42" t="s">
        <v>234</v>
      </c>
      <c r="D75" s="42" t="s">
        <v>314</v>
      </c>
      <c r="E75" s="42" t="s">
        <v>54</v>
      </c>
      <c r="F75" s="42" t="s">
        <v>166</v>
      </c>
      <c r="G75" s="41">
        <v>270</v>
      </c>
      <c r="H75" s="41"/>
      <c r="I75" s="40">
        <f>IF(B75="","",IF(I74="",MASTER!$C$7,I74)+N(H75)-N(G75))</f>
        <v>11843</v>
      </c>
      <c r="J75" s="39">
        <v>19000</v>
      </c>
      <c r="K75" s="22">
        <f t="shared" si="4"/>
        <v>5130000</v>
      </c>
      <c r="L75" s="38" t="str">
        <f t="shared" si="5"/>
        <v/>
      </c>
      <c r="M75" s="37"/>
    </row>
    <row r="76" spans="1:13" x14ac:dyDescent="0.35">
      <c r="A76" s="44" t="str">
        <f t="shared" si="3"/>
        <v>May 2026</v>
      </c>
      <c r="B76" s="43">
        <v>46164</v>
      </c>
      <c r="C76" s="42" t="s">
        <v>172</v>
      </c>
      <c r="D76" s="42" t="s">
        <v>328</v>
      </c>
      <c r="E76" s="42" t="s">
        <v>54</v>
      </c>
      <c r="F76" s="42" t="s">
        <v>166</v>
      </c>
      <c r="G76" s="41">
        <v>300</v>
      </c>
      <c r="H76" s="41"/>
      <c r="I76" s="40">
        <f>IF(B76="","",IF(I75="",MASTER!$C$7,I75)+N(H76)-N(G76))</f>
        <v>11543</v>
      </c>
      <c r="J76" s="39">
        <v>19000</v>
      </c>
      <c r="K76" s="22">
        <f t="shared" si="4"/>
        <v>5700000</v>
      </c>
      <c r="L76" s="38" t="str">
        <f t="shared" si="5"/>
        <v/>
      </c>
      <c r="M76" s="37"/>
    </row>
    <row r="77" spans="1:13" x14ac:dyDescent="0.35">
      <c r="A77" s="44" t="str">
        <f t="shared" si="3"/>
        <v>May 2026</v>
      </c>
      <c r="B77" s="43">
        <v>46165</v>
      </c>
      <c r="C77" s="42" t="s">
        <v>327</v>
      </c>
      <c r="D77" s="42" t="s">
        <v>218</v>
      </c>
      <c r="E77" s="42" t="s">
        <v>141</v>
      </c>
      <c r="F77" s="42" t="s">
        <v>155</v>
      </c>
      <c r="G77" s="41">
        <v>50</v>
      </c>
      <c r="H77" s="41"/>
      <c r="I77" s="40">
        <f>IF(B77="","",IF(I76="",MASTER!$C$7,I76)+N(H77)-N(G77))</f>
        <v>11493</v>
      </c>
      <c r="J77" s="39">
        <v>19000</v>
      </c>
      <c r="K77" s="22">
        <f t="shared" si="4"/>
        <v>950000</v>
      </c>
      <c r="L77" s="38" t="str">
        <f t="shared" si="5"/>
        <v/>
      </c>
      <c r="M77" s="37"/>
    </row>
    <row r="78" spans="1:13" x14ac:dyDescent="0.35">
      <c r="A78" s="44" t="str">
        <f t="shared" si="3"/>
        <v>May 2026</v>
      </c>
      <c r="B78" s="43">
        <v>46165</v>
      </c>
      <c r="C78" s="42" t="s">
        <v>312</v>
      </c>
      <c r="D78" s="42" t="s">
        <v>224</v>
      </c>
      <c r="E78" s="42" t="s">
        <v>141</v>
      </c>
      <c r="F78" s="42" t="s">
        <v>155</v>
      </c>
      <c r="G78" s="41">
        <v>50</v>
      </c>
      <c r="H78" s="41"/>
      <c r="I78" s="40">
        <f>IF(B78="","",IF(I77="",MASTER!$C$7,I77)+N(H78)-N(G78))</f>
        <v>11443</v>
      </c>
      <c r="J78" s="39">
        <v>19000</v>
      </c>
      <c r="K78" s="22">
        <f t="shared" si="4"/>
        <v>950000</v>
      </c>
      <c r="L78" s="38" t="str">
        <f t="shared" si="5"/>
        <v/>
      </c>
      <c r="M78" s="37"/>
    </row>
    <row r="79" spans="1:13" x14ac:dyDescent="0.35">
      <c r="A79" s="44" t="str">
        <f t="shared" si="3"/>
        <v>May 2026</v>
      </c>
      <c r="B79" s="43">
        <v>46165</v>
      </c>
      <c r="C79" s="42" t="s">
        <v>228</v>
      </c>
      <c r="D79" s="42" t="s">
        <v>227</v>
      </c>
      <c r="E79" s="42" t="s">
        <v>141</v>
      </c>
      <c r="F79" s="42" t="s">
        <v>155</v>
      </c>
      <c r="G79" s="41">
        <v>50</v>
      </c>
      <c r="H79" s="41"/>
      <c r="I79" s="40">
        <f>IF(B79="","",IF(I78="",MASTER!$C$7,I78)+N(H79)-N(G79))</f>
        <v>11393</v>
      </c>
      <c r="J79" s="39">
        <v>19000</v>
      </c>
      <c r="K79" s="22">
        <f t="shared" si="4"/>
        <v>950000</v>
      </c>
      <c r="L79" s="38" t="str">
        <f t="shared" si="5"/>
        <v/>
      </c>
      <c r="M79" s="37"/>
    </row>
    <row r="80" spans="1:13" x14ac:dyDescent="0.35">
      <c r="A80" s="44" t="str">
        <f t="shared" si="3"/>
        <v>May 2026</v>
      </c>
      <c r="B80" s="43">
        <v>46165</v>
      </c>
      <c r="C80" s="42" t="s">
        <v>182</v>
      </c>
      <c r="D80" s="42" t="s">
        <v>222</v>
      </c>
      <c r="E80" s="42" t="s">
        <v>141</v>
      </c>
      <c r="F80" s="42" t="s">
        <v>155</v>
      </c>
      <c r="G80" s="41">
        <v>50</v>
      </c>
      <c r="H80" s="41"/>
      <c r="I80" s="40">
        <f>IF(B80="","",IF(I79="",MASTER!$C$7,I79)+N(H80)-N(G80))</f>
        <v>11343</v>
      </c>
      <c r="J80" s="39">
        <v>19000</v>
      </c>
      <c r="K80" s="22">
        <f t="shared" si="4"/>
        <v>950000</v>
      </c>
      <c r="L80" s="38" t="str">
        <f t="shared" si="5"/>
        <v/>
      </c>
      <c r="M80" s="37"/>
    </row>
    <row r="81" spans="1:13" x14ac:dyDescent="0.35">
      <c r="A81" s="44" t="str">
        <f t="shared" si="3"/>
        <v>May 2026</v>
      </c>
      <c r="B81" s="43">
        <v>46165</v>
      </c>
      <c r="C81" s="42" t="s">
        <v>215</v>
      </c>
      <c r="D81" s="42" t="s">
        <v>214</v>
      </c>
      <c r="E81" s="42" t="s">
        <v>141</v>
      </c>
      <c r="F81" s="42" t="s">
        <v>155</v>
      </c>
      <c r="G81" s="41">
        <v>50</v>
      </c>
      <c r="H81" s="41"/>
      <c r="I81" s="40">
        <f>IF(B81="","",IF(I80="",MASTER!$C$7,I80)+N(H81)-N(G81))</f>
        <v>11293</v>
      </c>
      <c r="J81" s="39">
        <v>19000</v>
      </c>
      <c r="K81" s="22">
        <f t="shared" si="4"/>
        <v>950000</v>
      </c>
      <c r="L81" s="38" t="str">
        <f t="shared" si="5"/>
        <v/>
      </c>
      <c r="M81" s="37"/>
    </row>
    <row r="82" spans="1:13" x14ac:dyDescent="0.35">
      <c r="A82" s="44" t="str">
        <f t="shared" si="3"/>
        <v>May 2026</v>
      </c>
      <c r="B82" s="43">
        <v>46165</v>
      </c>
      <c r="C82" s="42" t="s">
        <v>178</v>
      </c>
      <c r="D82" s="42" t="s">
        <v>216</v>
      </c>
      <c r="E82" s="42" t="s">
        <v>141</v>
      </c>
      <c r="F82" s="42" t="s">
        <v>155</v>
      </c>
      <c r="G82" s="41">
        <v>50</v>
      </c>
      <c r="H82" s="41"/>
      <c r="I82" s="40">
        <f>IF(B82="","",IF(I81="",MASTER!$C$7,I81)+N(H82)-N(G82))</f>
        <v>11243</v>
      </c>
      <c r="J82" s="39">
        <v>19000</v>
      </c>
      <c r="K82" s="22">
        <f t="shared" si="4"/>
        <v>950000</v>
      </c>
      <c r="L82" s="38" t="str">
        <f t="shared" si="5"/>
        <v/>
      </c>
      <c r="M82" s="37"/>
    </row>
    <row r="83" spans="1:13" x14ac:dyDescent="0.35">
      <c r="A83" s="44" t="str">
        <f t="shared" si="3"/>
        <v>May 2026</v>
      </c>
      <c r="B83" s="43">
        <v>46165</v>
      </c>
      <c r="C83" s="42" t="s">
        <v>184</v>
      </c>
      <c r="D83" s="42" t="s">
        <v>221</v>
      </c>
      <c r="E83" s="42" t="s">
        <v>141</v>
      </c>
      <c r="F83" s="42" t="s">
        <v>155</v>
      </c>
      <c r="G83" s="41">
        <v>50</v>
      </c>
      <c r="H83" s="41"/>
      <c r="I83" s="40">
        <f>IF(B83="","",IF(I82="",MASTER!$C$7,I82)+N(H83)-N(G83))</f>
        <v>11193</v>
      </c>
      <c r="J83" s="39">
        <v>19000</v>
      </c>
      <c r="K83" s="22">
        <f t="shared" si="4"/>
        <v>950000</v>
      </c>
      <c r="L83" s="38" t="str">
        <f t="shared" si="5"/>
        <v/>
      </c>
      <c r="M83" s="37"/>
    </row>
    <row r="84" spans="1:13" x14ac:dyDescent="0.35">
      <c r="A84" s="44" t="str">
        <f t="shared" si="3"/>
        <v>May 2026</v>
      </c>
      <c r="B84" s="43">
        <v>46165</v>
      </c>
      <c r="C84" s="42" t="s">
        <v>250</v>
      </c>
      <c r="D84" s="42" t="s">
        <v>326</v>
      </c>
      <c r="E84" s="42" t="s">
        <v>141</v>
      </c>
      <c r="F84" s="42" t="s">
        <v>155</v>
      </c>
      <c r="G84" s="41">
        <v>50</v>
      </c>
      <c r="H84" s="41"/>
      <c r="I84" s="40">
        <f>IF(B84="","",IF(I83="",MASTER!$C$7,I83)+N(H84)-N(G84))</f>
        <v>11143</v>
      </c>
      <c r="J84" s="39">
        <v>19000</v>
      </c>
      <c r="K84" s="22">
        <f t="shared" si="4"/>
        <v>950000</v>
      </c>
      <c r="L84" s="38" t="str">
        <f t="shared" si="5"/>
        <v/>
      </c>
      <c r="M84" s="37"/>
    </row>
    <row r="85" spans="1:13" x14ac:dyDescent="0.35">
      <c r="A85" s="44" t="str">
        <f t="shared" si="3"/>
        <v>May 2026</v>
      </c>
      <c r="B85" s="43">
        <v>46165</v>
      </c>
      <c r="C85" s="42" t="s">
        <v>312</v>
      </c>
      <c r="D85" s="42" t="s">
        <v>325</v>
      </c>
      <c r="E85" s="42" t="s">
        <v>141</v>
      </c>
      <c r="F85" s="42" t="s">
        <v>155</v>
      </c>
      <c r="G85" s="41">
        <v>50</v>
      </c>
      <c r="H85" s="41"/>
      <c r="I85" s="40">
        <f>IF(B85="","",IF(I84="",MASTER!$C$7,I84)+N(H85)-N(G85))</f>
        <v>11093</v>
      </c>
      <c r="J85" s="39">
        <v>19000</v>
      </c>
      <c r="K85" s="22">
        <f t="shared" si="4"/>
        <v>950000</v>
      </c>
      <c r="L85" s="38" t="str">
        <f t="shared" si="5"/>
        <v/>
      </c>
      <c r="M85" s="37"/>
    </row>
    <row r="86" spans="1:13" x14ac:dyDescent="0.35">
      <c r="A86" s="44" t="str">
        <f t="shared" si="3"/>
        <v>May 2026</v>
      </c>
      <c r="B86" s="43">
        <v>46165</v>
      </c>
      <c r="C86" s="42" t="s">
        <v>190</v>
      </c>
      <c r="D86" s="42" t="s">
        <v>324</v>
      </c>
      <c r="E86" s="42" t="s">
        <v>188</v>
      </c>
      <c r="F86" s="42" t="s">
        <v>155</v>
      </c>
      <c r="G86" s="41">
        <v>20</v>
      </c>
      <c r="H86" s="41"/>
      <c r="I86" s="40">
        <f>IF(B86="","",IF(I85="",MASTER!$C$7,I85)+N(H86)-N(G86))</f>
        <v>11073</v>
      </c>
      <c r="J86" s="39">
        <v>19000</v>
      </c>
      <c r="K86" s="22">
        <f t="shared" si="4"/>
        <v>380000</v>
      </c>
      <c r="L86" s="38" t="str">
        <f t="shared" si="5"/>
        <v/>
      </c>
      <c r="M86" s="37"/>
    </row>
    <row r="87" spans="1:13" x14ac:dyDescent="0.35">
      <c r="A87" s="44" t="str">
        <f t="shared" si="3"/>
        <v>May 2026</v>
      </c>
      <c r="B87" s="43">
        <v>46165</v>
      </c>
      <c r="C87" s="42" t="s">
        <v>176</v>
      </c>
      <c r="D87" s="42" t="s">
        <v>220</v>
      </c>
      <c r="E87" s="42" t="s">
        <v>141</v>
      </c>
      <c r="F87" s="42" t="s">
        <v>155</v>
      </c>
      <c r="G87" s="41">
        <v>50</v>
      </c>
      <c r="H87" s="41"/>
      <c r="I87" s="40">
        <f>IF(B87="","",IF(I86="",MASTER!$C$7,I86)+N(H87)-N(G87))</f>
        <v>11023</v>
      </c>
      <c r="J87" s="39">
        <v>19000</v>
      </c>
      <c r="K87" s="22">
        <f t="shared" si="4"/>
        <v>950000</v>
      </c>
      <c r="L87" s="38" t="str">
        <f t="shared" si="5"/>
        <v/>
      </c>
      <c r="M87" s="37"/>
    </row>
    <row r="88" spans="1:13" x14ac:dyDescent="0.35">
      <c r="A88" s="44" t="str">
        <f t="shared" si="3"/>
        <v>May 2026</v>
      </c>
      <c r="B88" s="43">
        <v>46165</v>
      </c>
      <c r="C88" s="42" t="s">
        <v>323</v>
      </c>
      <c r="D88" s="42" t="s">
        <v>288</v>
      </c>
      <c r="E88" s="42" t="s">
        <v>141</v>
      </c>
      <c r="F88" s="42" t="s">
        <v>155</v>
      </c>
      <c r="G88" s="41">
        <v>50</v>
      </c>
      <c r="H88" s="41"/>
      <c r="I88" s="40">
        <f>IF(B88="","",IF(I87="",MASTER!$C$7,I87)+N(H88)-N(G88))</f>
        <v>10973</v>
      </c>
      <c r="J88" s="39">
        <v>19000</v>
      </c>
      <c r="K88" s="22">
        <f t="shared" si="4"/>
        <v>950000</v>
      </c>
      <c r="L88" s="38" t="str">
        <f t="shared" si="5"/>
        <v/>
      </c>
      <c r="M88" s="37"/>
    </row>
    <row r="89" spans="1:13" x14ac:dyDescent="0.35">
      <c r="A89" s="44" t="str">
        <f t="shared" si="3"/>
        <v>May 2026</v>
      </c>
      <c r="B89" s="43">
        <v>46165</v>
      </c>
      <c r="C89" s="42" t="s">
        <v>159</v>
      </c>
      <c r="D89" s="42" t="s">
        <v>41</v>
      </c>
      <c r="E89" s="42" t="s">
        <v>158</v>
      </c>
      <c r="F89" s="42" t="s">
        <v>157</v>
      </c>
      <c r="G89" s="41">
        <v>180</v>
      </c>
      <c r="H89" s="41"/>
      <c r="I89" s="40">
        <f>IF(B89="","",IF(I88="",MASTER!$C$7,I88)+N(H89)-N(G89))</f>
        <v>10793</v>
      </c>
      <c r="J89" s="39">
        <v>19000</v>
      </c>
      <c r="K89" s="22">
        <f t="shared" si="4"/>
        <v>3420000</v>
      </c>
      <c r="L89" s="38" t="str">
        <f t="shared" si="5"/>
        <v/>
      </c>
      <c r="M89" s="37"/>
    </row>
    <row r="90" spans="1:13" x14ac:dyDescent="0.35">
      <c r="A90" s="44" t="str">
        <f t="shared" si="3"/>
        <v>May 2026</v>
      </c>
      <c r="B90" s="43">
        <v>46165</v>
      </c>
      <c r="C90" s="42" t="s">
        <v>274</v>
      </c>
      <c r="D90" s="42" t="s">
        <v>40</v>
      </c>
      <c r="E90" s="42" t="s">
        <v>322</v>
      </c>
      <c r="F90" s="42" t="s">
        <v>157</v>
      </c>
      <c r="G90" s="41">
        <v>100</v>
      </c>
      <c r="H90" s="41"/>
      <c r="I90" s="40">
        <f>IF(B90="","",IF(I89="",MASTER!$C$7,I89)+N(H90)-N(G90))</f>
        <v>10693</v>
      </c>
      <c r="J90" s="39">
        <v>19000</v>
      </c>
      <c r="K90" s="22">
        <f t="shared" si="4"/>
        <v>1900000</v>
      </c>
      <c r="L90" s="38" t="str">
        <f t="shared" si="5"/>
        <v/>
      </c>
      <c r="M90" s="37"/>
    </row>
    <row r="91" spans="1:13" x14ac:dyDescent="0.35">
      <c r="A91" s="44" t="str">
        <f t="shared" si="3"/>
        <v>May 2026</v>
      </c>
      <c r="B91" s="43">
        <v>46165</v>
      </c>
      <c r="C91" s="42" t="s">
        <v>321</v>
      </c>
      <c r="D91" s="42" t="s">
        <v>167</v>
      </c>
      <c r="E91" s="42" t="s">
        <v>54</v>
      </c>
      <c r="F91" s="42" t="s">
        <v>166</v>
      </c>
      <c r="G91" s="41">
        <v>300</v>
      </c>
      <c r="H91" s="41"/>
      <c r="I91" s="40">
        <f>IF(B91="","",IF(I90="",MASTER!$C$7,I90)+N(H91)-N(G91))</f>
        <v>10393</v>
      </c>
      <c r="J91" s="39">
        <v>19000</v>
      </c>
      <c r="K91" s="22">
        <f t="shared" si="4"/>
        <v>5700000</v>
      </c>
      <c r="L91" s="38" t="str">
        <f t="shared" si="5"/>
        <v/>
      </c>
      <c r="M91" s="37"/>
    </row>
    <row r="92" spans="1:13" x14ac:dyDescent="0.35">
      <c r="A92" s="44" t="str">
        <f t="shared" si="3"/>
        <v>May 2026</v>
      </c>
      <c r="B92" s="43">
        <v>46165</v>
      </c>
      <c r="C92" s="42" t="s">
        <v>235</v>
      </c>
      <c r="D92" s="42" t="s">
        <v>320</v>
      </c>
      <c r="E92" s="42" t="s">
        <v>54</v>
      </c>
      <c r="F92" s="42" t="s">
        <v>166</v>
      </c>
      <c r="G92" s="41">
        <v>200</v>
      </c>
      <c r="H92" s="41"/>
      <c r="I92" s="40">
        <f>IF(B92="","",IF(I91="",MASTER!$C$7,I91)+N(H92)-N(G92))</f>
        <v>10193</v>
      </c>
      <c r="J92" s="39">
        <v>19000</v>
      </c>
      <c r="K92" s="22">
        <f t="shared" si="4"/>
        <v>3800000</v>
      </c>
      <c r="L92" s="38" t="str">
        <f t="shared" si="5"/>
        <v/>
      </c>
      <c r="M92" s="37"/>
    </row>
    <row r="93" spans="1:13" x14ac:dyDescent="0.35">
      <c r="A93" s="44" t="str">
        <f t="shared" si="3"/>
        <v>May 2026</v>
      </c>
      <c r="B93" s="43">
        <v>46165</v>
      </c>
      <c r="C93" s="42" t="s">
        <v>263</v>
      </c>
      <c r="D93" s="42" t="s">
        <v>319</v>
      </c>
      <c r="E93" s="42" t="s">
        <v>54</v>
      </c>
      <c r="F93" s="42" t="s">
        <v>166</v>
      </c>
      <c r="G93" s="41">
        <v>200</v>
      </c>
      <c r="H93" s="41"/>
      <c r="I93" s="40">
        <f>IF(B93="","",IF(I92="",MASTER!$C$7,I92)+N(H93)-N(G93))</f>
        <v>9993</v>
      </c>
      <c r="J93" s="39">
        <v>19000</v>
      </c>
      <c r="K93" s="22">
        <f t="shared" si="4"/>
        <v>3800000</v>
      </c>
      <c r="L93" s="38" t="str">
        <f t="shared" si="5"/>
        <v/>
      </c>
      <c r="M93" s="37"/>
    </row>
    <row r="94" spans="1:13" x14ac:dyDescent="0.35">
      <c r="A94" s="44" t="str">
        <f t="shared" si="3"/>
        <v>May 2026</v>
      </c>
      <c r="B94" s="43">
        <v>46165</v>
      </c>
      <c r="C94" s="42" t="s">
        <v>197</v>
      </c>
      <c r="D94" s="42" t="s">
        <v>308</v>
      </c>
      <c r="E94" s="42" t="s">
        <v>54</v>
      </c>
      <c r="F94" s="42" t="s">
        <v>166</v>
      </c>
      <c r="G94" s="41">
        <v>200</v>
      </c>
      <c r="H94" s="41"/>
      <c r="I94" s="40">
        <f>IF(B94="","",IF(I93="",MASTER!$C$7,I93)+N(H94)-N(G94))</f>
        <v>9793</v>
      </c>
      <c r="J94" s="39">
        <v>19000</v>
      </c>
      <c r="K94" s="22">
        <f t="shared" si="4"/>
        <v>3800000</v>
      </c>
      <c r="L94" s="38" t="str">
        <f t="shared" si="5"/>
        <v/>
      </c>
      <c r="M94" s="37"/>
    </row>
    <row r="95" spans="1:13" x14ac:dyDescent="0.35">
      <c r="A95" s="44" t="str">
        <f t="shared" si="3"/>
        <v>May 2026</v>
      </c>
      <c r="B95" s="43">
        <v>46165</v>
      </c>
      <c r="C95" s="42" t="s">
        <v>192</v>
      </c>
      <c r="D95" s="42" t="s">
        <v>191</v>
      </c>
      <c r="E95" s="42" t="s">
        <v>141</v>
      </c>
      <c r="F95" s="42" t="s">
        <v>166</v>
      </c>
      <c r="G95" s="41">
        <v>100</v>
      </c>
      <c r="H95" s="41"/>
      <c r="I95" s="40">
        <f>IF(B95="","",IF(I94="",MASTER!$C$7,I94)+N(H95)-N(G95))</f>
        <v>9693</v>
      </c>
      <c r="J95" s="39">
        <v>19000</v>
      </c>
      <c r="K95" s="22">
        <f t="shared" si="4"/>
        <v>1900000</v>
      </c>
      <c r="L95" s="38" t="str">
        <f t="shared" si="5"/>
        <v/>
      </c>
      <c r="M95" s="37"/>
    </row>
    <row r="96" spans="1:13" x14ac:dyDescent="0.35">
      <c r="A96" s="44" t="str">
        <f t="shared" si="3"/>
        <v>May 2026</v>
      </c>
      <c r="B96" s="43">
        <v>46165</v>
      </c>
      <c r="C96" s="42" t="s">
        <v>235</v>
      </c>
      <c r="D96" s="42" t="s">
        <v>200</v>
      </c>
      <c r="E96" s="42" t="s">
        <v>54</v>
      </c>
      <c r="F96" s="42" t="s">
        <v>166</v>
      </c>
      <c r="G96" s="41">
        <v>150</v>
      </c>
      <c r="H96" s="41"/>
      <c r="I96" s="40">
        <f>IF(B96="","",IF(I95="",MASTER!$C$7,I95)+N(H96)-N(G96))</f>
        <v>9543</v>
      </c>
      <c r="J96" s="39">
        <v>19000</v>
      </c>
      <c r="K96" s="22">
        <f t="shared" si="4"/>
        <v>2850000</v>
      </c>
      <c r="L96" s="38" t="str">
        <f t="shared" si="5"/>
        <v/>
      </c>
      <c r="M96" s="37"/>
    </row>
    <row r="97" spans="1:13" x14ac:dyDescent="0.35">
      <c r="A97" s="44" t="str">
        <f t="shared" si="3"/>
        <v>May 2026</v>
      </c>
      <c r="B97" s="43">
        <v>46165</v>
      </c>
      <c r="C97" s="42" t="s">
        <v>172</v>
      </c>
      <c r="D97" s="42" t="s">
        <v>318</v>
      </c>
      <c r="E97" s="42" t="s">
        <v>54</v>
      </c>
      <c r="F97" s="42" t="s">
        <v>166</v>
      </c>
      <c r="G97" s="41">
        <v>150</v>
      </c>
      <c r="H97" s="41"/>
      <c r="I97" s="40">
        <f>IF(B97="","",IF(I96="",MASTER!$C$7,I96)+N(H97)-N(G97))</f>
        <v>9393</v>
      </c>
      <c r="J97" s="39">
        <v>19000</v>
      </c>
      <c r="K97" s="22">
        <f t="shared" si="4"/>
        <v>2850000</v>
      </c>
      <c r="L97" s="38" t="str">
        <f t="shared" si="5"/>
        <v/>
      </c>
      <c r="M97" s="37"/>
    </row>
    <row r="98" spans="1:13" x14ac:dyDescent="0.35">
      <c r="A98" s="44" t="str">
        <f t="shared" si="3"/>
        <v>May 2026</v>
      </c>
      <c r="B98" s="43">
        <v>46165</v>
      </c>
      <c r="C98" s="42" t="s">
        <v>170</v>
      </c>
      <c r="D98" s="42" t="s">
        <v>306</v>
      </c>
      <c r="E98" s="42" t="s">
        <v>54</v>
      </c>
      <c r="F98" s="42" t="s">
        <v>166</v>
      </c>
      <c r="G98" s="41">
        <v>100</v>
      </c>
      <c r="H98" s="41"/>
      <c r="I98" s="40">
        <f>IF(B98="","",IF(I97="",MASTER!$C$7,I97)+N(H98)-N(G98))</f>
        <v>9293</v>
      </c>
      <c r="J98" s="39">
        <v>19000</v>
      </c>
      <c r="K98" s="22">
        <f t="shared" si="4"/>
        <v>1900000</v>
      </c>
      <c r="L98" s="38" t="str">
        <f t="shared" si="5"/>
        <v/>
      </c>
      <c r="M98" s="37"/>
    </row>
    <row r="99" spans="1:13" x14ac:dyDescent="0.35">
      <c r="A99" s="44" t="str">
        <f t="shared" si="3"/>
        <v>May 2026</v>
      </c>
      <c r="B99" s="43">
        <v>46165</v>
      </c>
      <c r="C99" s="42" t="s">
        <v>317</v>
      </c>
      <c r="D99" s="42" t="s">
        <v>264</v>
      </c>
      <c r="E99" s="42" t="s">
        <v>54</v>
      </c>
      <c r="F99" s="42" t="s">
        <v>166</v>
      </c>
      <c r="G99" s="41">
        <v>200</v>
      </c>
      <c r="H99" s="41"/>
      <c r="I99" s="40">
        <f>IF(B99="","",IF(I98="",MASTER!$C$7,I98)+N(H99)-N(G99))</f>
        <v>9093</v>
      </c>
      <c r="J99" s="39">
        <v>19000</v>
      </c>
      <c r="K99" s="22">
        <f t="shared" si="4"/>
        <v>3800000</v>
      </c>
      <c r="L99" s="38" t="str">
        <f t="shared" si="5"/>
        <v/>
      </c>
      <c r="M99" s="37"/>
    </row>
    <row r="100" spans="1:13" x14ac:dyDescent="0.35">
      <c r="A100" s="44" t="str">
        <f t="shared" si="3"/>
        <v>May 2026</v>
      </c>
      <c r="B100" s="43">
        <v>46166</v>
      </c>
      <c r="C100" s="42" t="s">
        <v>99</v>
      </c>
      <c r="D100" s="42" t="s">
        <v>257</v>
      </c>
      <c r="E100" s="42" t="s">
        <v>141</v>
      </c>
      <c r="F100" s="42" t="s">
        <v>166</v>
      </c>
      <c r="G100" s="41">
        <v>100</v>
      </c>
      <c r="H100" s="41"/>
      <c r="I100" s="40">
        <f>IF(B100="","",IF(I99="",MASTER!$C$7,I99)+N(H100)-N(G100))</f>
        <v>8993</v>
      </c>
      <c r="J100" s="39">
        <v>19000</v>
      </c>
      <c r="K100" s="22">
        <f t="shared" si="4"/>
        <v>1900000</v>
      </c>
      <c r="L100" s="38" t="str">
        <f t="shared" si="5"/>
        <v/>
      </c>
      <c r="M100" s="37"/>
    </row>
    <row r="101" spans="1:13" x14ac:dyDescent="0.35">
      <c r="A101" s="44" t="str">
        <f t="shared" si="3"/>
        <v>May 2026</v>
      </c>
      <c r="B101" s="43">
        <v>46166</v>
      </c>
      <c r="C101" s="42" t="s">
        <v>202</v>
      </c>
      <c r="D101" s="42" t="s">
        <v>201</v>
      </c>
      <c r="E101" s="42" t="s">
        <v>141</v>
      </c>
      <c r="F101" s="42" t="s">
        <v>166</v>
      </c>
      <c r="G101" s="41">
        <v>100</v>
      </c>
      <c r="H101" s="41"/>
      <c r="I101" s="40">
        <f>IF(B101="","",IF(I100="",MASTER!$C$7,I100)+N(H101)-N(G101))</f>
        <v>8893</v>
      </c>
      <c r="J101" s="39">
        <v>19000</v>
      </c>
      <c r="K101" s="22">
        <f t="shared" si="4"/>
        <v>1900000</v>
      </c>
      <c r="L101" s="38" t="str">
        <f t="shared" si="5"/>
        <v/>
      </c>
      <c r="M101" s="37"/>
    </row>
    <row r="102" spans="1:13" x14ac:dyDescent="0.35">
      <c r="A102" s="44" t="str">
        <f t="shared" si="3"/>
        <v>May 2026</v>
      </c>
      <c r="B102" s="43">
        <v>46166</v>
      </c>
      <c r="C102" s="42" t="s">
        <v>195</v>
      </c>
      <c r="D102" s="42" t="s">
        <v>244</v>
      </c>
      <c r="E102" s="42" t="s">
        <v>141</v>
      </c>
      <c r="F102" s="42" t="s">
        <v>166</v>
      </c>
      <c r="G102" s="41">
        <v>100</v>
      </c>
      <c r="H102" s="41"/>
      <c r="I102" s="40">
        <f>IF(B102="","",IF(I101="",MASTER!$C$7,I101)+N(H102)-N(G102))</f>
        <v>8793</v>
      </c>
      <c r="J102" s="39">
        <v>19000</v>
      </c>
      <c r="K102" s="22">
        <f t="shared" si="4"/>
        <v>1900000</v>
      </c>
      <c r="L102" s="38" t="str">
        <f t="shared" si="5"/>
        <v/>
      </c>
      <c r="M102" s="37"/>
    </row>
    <row r="103" spans="1:13" x14ac:dyDescent="0.35">
      <c r="A103" s="44" t="str">
        <f t="shared" si="3"/>
        <v>May 2026</v>
      </c>
      <c r="B103" s="43">
        <v>46166</v>
      </c>
      <c r="C103" s="42" t="s">
        <v>275</v>
      </c>
      <c r="D103" s="42" t="s">
        <v>194</v>
      </c>
      <c r="E103" s="42" t="s">
        <v>141</v>
      </c>
      <c r="F103" s="42" t="s">
        <v>166</v>
      </c>
      <c r="G103" s="41">
        <v>100</v>
      </c>
      <c r="H103" s="41"/>
      <c r="I103" s="40">
        <f>IF(B103="","",IF(I102="",MASTER!$C$7,I102)+N(H103)-N(G103))</f>
        <v>8693</v>
      </c>
      <c r="J103" s="39">
        <v>19000</v>
      </c>
      <c r="K103" s="22">
        <f t="shared" si="4"/>
        <v>1900000</v>
      </c>
      <c r="L103" s="38" t="str">
        <f t="shared" si="5"/>
        <v/>
      </c>
      <c r="M103" s="37"/>
    </row>
    <row r="104" spans="1:13" x14ac:dyDescent="0.35">
      <c r="A104" s="44" t="str">
        <f t="shared" si="3"/>
        <v>May 2026</v>
      </c>
      <c r="B104" s="43">
        <v>46166</v>
      </c>
      <c r="C104" s="42" t="s">
        <v>286</v>
      </c>
      <c r="D104" s="42" t="s">
        <v>316</v>
      </c>
      <c r="E104" s="42" t="s">
        <v>54</v>
      </c>
      <c r="F104" s="42" t="s">
        <v>166</v>
      </c>
      <c r="G104" s="41">
        <v>200</v>
      </c>
      <c r="H104" s="41"/>
      <c r="I104" s="40">
        <f>IF(B104="","",IF(I103="",MASTER!$C$7,I103)+N(H104)-N(G104))</f>
        <v>8493</v>
      </c>
      <c r="J104" s="39">
        <v>19000</v>
      </c>
      <c r="K104" s="22">
        <f t="shared" si="4"/>
        <v>3800000</v>
      </c>
      <c r="L104" s="38" t="str">
        <f t="shared" si="5"/>
        <v/>
      </c>
      <c r="M104" s="37"/>
    </row>
    <row r="105" spans="1:13" x14ac:dyDescent="0.35">
      <c r="A105" s="44" t="str">
        <f t="shared" si="3"/>
        <v>May 2026</v>
      </c>
      <c r="B105" s="43">
        <v>46166</v>
      </c>
      <c r="C105" s="42" t="s">
        <v>174</v>
      </c>
      <c r="D105" s="42" t="s">
        <v>200</v>
      </c>
      <c r="E105" s="42" t="s">
        <v>54</v>
      </c>
      <c r="F105" s="42" t="s">
        <v>166</v>
      </c>
      <c r="G105" s="41">
        <v>200</v>
      </c>
      <c r="H105" s="41"/>
      <c r="I105" s="40">
        <f>IF(B105="","",IF(I104="",MASTER!$C$7,I104)+N(H105)-N(G105))</f>
        <v>8293</v>
      </c>
      <c r="J105" s="39">
        <v>19000</v>
      </c>
      <c r="K105" s="22">
        <f t="shared" si="4"/>
        <v>3800000</v>
      </c>
      <c r="L105" s="38" t="str">
        <f t="shared" si="5"/>
        <v/>
      </c>
      <c r="M105" s="37"/>
    </row>
    <row r="106" spans="1:13" x14ac:dyDescent="0.35">
      <c r="A106" s="44" t="str">
        <f t="shared" si="3"/>
        <v>May 2026</v>
      </c>
      <c r="B106" s="43">
        <v>46166</v>
      </c>
      <c r="C106" s="42" t="s">
        <v>159</v>
      </c>
      <c r="D106" s="42" t="s">
        <v>41</v>
      </c>
      <c r="E106" s="42" t="s">
        <v>158</v>
      </c>
      <c r="F106" s="42" t="s">
        <v>157</v>
      </c>
      <c r="G106" s="41">
        <v>50</v>
      </c>
      <c r="H106" s="41"/>
      <c r="I106" s="40">
        <f>IF(B106="","",IF(I105="",MASTER!$C$7,I105)+N(H106)-N(G106))</f>
        <v>8243</v>
      </c>
      <c r="J106" s="39">
        <v>19000</v>
      </c>
      <c r="K106" s="22">
        <f t="shared" si="4"/>
        <v>950000</v>
      </c>
      <c r="L106" s="38" t="str">
        <f t="shared" si="5"/>
        <v/>
      </c>
      <c r="M106" s="37"/>
    </row>
    <row r="107" spans="1:13" x14ac:dyDescent="0.35">
      <c r="A107" s="44" t="str">
        <f t="shared" si="3"/>
        <v>May 2026</v>
      </c>
      <c r="B107" s="43">
        <v>46166</v>
      </c>
      <c r="C107" s="42" t="s">
        <v>170</v>
      </c>
      <c r="D107" s="42" t="s">
        <v>315</v>
      </c>
      <c r="E107" s="42" t="s">
        <v>54</v>
      </c>
      <c r="F107" s="42" t="s">
        <v>166</v>
      </c>
      <c r="G107" s="41">
        <v>200</v>
      </c>
      <c r="H107" s="41"/>
      <c r="I107" s="40">
        <f>IF(B107="","",IF(I106="",MASTER!$C$7,I106)+N(H107)-N(G107))</f>
        <v>8043</v>
      </c>
      <c r="J107" s="39">
        <v>19000</v>
      </c>
      <c r="K107" s="22">
        <f t="shared" si="4"/>
        <v>3800000</v>
      </c>
      <c r="L107" s="38" t="str">
        <f t="shared" si="5"/>
        <v/>
      </c>
      <c r="M107" s="37"/>
    </row>
    <row r="108" spans="1:13" x14ac:dyDescent="0.35">
      <c r="A108" s="44" t="str">
        <f t="shared" si="3"/>
        <v>May 2026</v>
      </c>
      <c r="B108" s="43">
        <v>46166</v>
      </c>
      <c r="C108" s="42" t="s">
        <v>234</v>
      </c>
      <c r="D108" s="42" t="s">
        <v>314</v>
      </c>
      <c r="E108" s="42" t="s">
        <v>54</v>
      </c>
      <c r="F108" s="42" t="s">
        <v>166</v>
      </c>
      <c r="G108" s="41">
        <v>200</v>
      </c>
      <c r="H108" s="41"/>
      <c r="I108" s="40">
        <f>IF(B108="","",IF(I107="",MASTER!$C$7,I107)+N(H108)-N(G108))</f>
        <v>7843</v>
      </c>
      <c r="J108" s="39">
        <v>19000</v>
      </c>
      <c r="K108" s="22">
        <f t="shared" si="4"/>
        <v>3800000</v>
      </c>
      <c r="L108" s="38" t="str">
        <f t="shared" si="5"/>
        <v/>
      </c>
      <c r="M108" s="37"/>
    </row>
    <row r="109" spans="1:13" x14ac:dyDescent="0.35">
      <c r="A109" s="44" t="str">
        <f t="shared" si="3"/>
        <v>May 2026</v>
      </c>
      <c r="B109" s="43">
        <v>46167</v>
      </c>
      <c r="C109" s="42" t="s">
        <v>228</v>
      </c>
      <c r="D109" s="42" t="s">
        <v>313</v>
      </c>
      <c r="E109" s="42" t="s">
        <v>141</v>
      </c>
      <c r="F109" s="42" t="s">
        <v>155</v>
      </c>
      <c r="G109" s="41">
        <v>50</v>
      </c>
      <c r="H109" s="41"/>
      <c r="I109" s="40">
        <f>IF(B109="","",IF(I108="",MASTER!$C$7,I108)+N(H109)-N(G109))</f>
        <v>7793</v>
      </c>
      <c r="J109" s="39">
        <v>19000</v>
      </c>
      <c r="K109" s="22">
        <f t="shared" si="4"/>
        <v>950000</v>
      </c>
      <c r="L109" s="38" t="str">
        <f t="shared" si="5"/>
        <v/>
      </c>
      <c r="M109" s="37"/>
    </row>
    <row r="110" spans="1:13" x14ac:dyDescent="0.35">
      <c r="A110" s="44" t="str">
        <f t="shared" si="3"/>
        <v>May 2026</v>
      </c>
      <c r="B110" s="43">
        <v>46167</v>
      </c>
      <c r="C110" s="42" t="s">
        <v>250</v>
      </c>
      <c r="D110" s="42" t="s">
        <v>218</v>
      </c>
      <c r="E110" s="42" t="s">
        <v>141</v>
      </c>
      <c r="F110" s="42" t="s">
        <v>155</v>
      </c>
      <c r="G110" s="41">
        <v>50</v>
      </c>
      <c r="H110" s="41"/>
      <c r="I110" s="40">
        <f>IF(B110="","",IF(I109="",MASTER!$C$7,I109)+N(H110)-N(G110))</f>
        <v>7743</v>
      </c>
      <c r="J110" s="39">
        <v>19000</v>
      </c>
      <c r="K110" s="22">
        <f t="shared" si="4"/>
        <v>950000</v>
      </c>
      <c r="L110" s="38" t="str">
        <f t="shared" si="5"/>
        <v/>
      </c>
      <c r="M110" s="37"/>
    </row>
    <row r="111" spans="1:13" x14ac:dyDescent="0.35">
      <c r="A111" s="44" t="str">
        <f t="shared" si="3"/>
        <v>May 2026</v>
      </c>
      <c r="B111" s="43">
        <v>46167</v>
      </c>
      <c r="C111" s="42" t="s">
        <v>182</v>
      </c>
      <c r="D111" s="42" t="s">
        <v>181</v>
      </c>
      <c r="E111" s="42" t="s">
        <v>141</v>
      </c>
      <c r="F111" s="42" t="s">
        <v>155</v>
      </c>
      <c r="G111" s="41">
        <v>50</v>
      </c>
      <c r="H111" s="41"/>
      <c r="I111" s="40">
        <f>IF(B111="","",IF(I110="",MASTER!$C$7,I110)+N(H111)-N(G111))</f>
        <v>7693</v>
      </c>
      <c r="J111" s="39">
        <v>19000</v>
      </c>
      <c r="K111" s="22">
        <f t="shared" si="4"/>
        <v>950000</v>
      </c>
      <c r="L111" s="38" t="str">
        <f t="shared" si="5"/>
        <v/>
      </c>
      <c r="M111" s="37"/>
    </row>
    <row r="112" spans="1:13" x14ac:dyDescent="0.35">
      <c r="A112" s="44" t="str">
        <f t="shared" si="3"/>
        <v>May 2026</v>
      </c>
      <c r="B112" s="43">
        <v>46167</v>
      </c>
      <c r="C112" s="42" t="s">
        <v>215</v>
      </c>
      <c r="D112" s="42" t="s">
        <v>281</v>
      </c>
      <c r="E112" s="42" t="s">
        <v>141</v>
      </c>
      <c r="F112" s="42" t="s">
        <v>155</v>
      </c>
      <c r="G112" s="41">
        <v>50</v>
      </c>
      <c r="H112" s="41"/>
      <c r="I112" s="40">
        <f>IF(B112="","",IF(I111="",MASTER!$C$7,I111)+N(H112)-N(G112))</f>
        <v>7643</v>
      </c>
      <c r="J112" s="39">
        <v>19000</v>
      </c>
      <c r="K112" s="22">
        <f t="shared" si="4"/>
        <v>950000</v>
      </c>
      <c r="L112" s="38" t="str">
        <f t="shared" si="5"/>
        <v/>
      </c>
      <c r="M112" s="37"/>
    </row>
    <row r="113" spans="1:13" x14ac:dyDescent="0.35">
      <c r="A113" s="44" t="str">
        <f t="shared" si="3"/>
        <v>May 2026</v>
      </c>
      <c r="B113" s="43">
        <v>46167</v>
      </c>
      <c r="C113" s="42" t="s">
        <v>312</v>
      </c>
      <c r="D113" s="42" t="s">
        <v>287</v>
      </c>
      <c r="E113" s="42" t="s">
        <v>141</v>
      </c>
      <c r="F113" s="42" t="s">
        <v>155</v>
      </c>
      <c r="G113" s="41">
        <v>50</v>
      </c>
      <c r="H113" s="41"/>
      <c r="I113" s="40">
        <f>IF(B113="","",IF(I112="",MASTER!$C$7,I112)+N(H113)-N(G113))</f>
        <v>7593</v>
      </c>
      <c r="J113" s="39">
        <v>19000</v>
      </c>
      <c r="K113" s="22">
        <f t="shared" si="4"/>
        <v>950000</v>
      </c>
      <c r="L113" s="38" t="str">
        <f t="shared" si="5"/>
        <v/>
      </c>
      <c r="M113" s="37"/>
    </row>
    <row r="114" spans="1:13" x14ac:dyDescent="0.35">
      <c r="A114" s="44" t="str">
        <f t="shared" si="3"/>
        <v>May 2026</v>
      </c>
      <c r="B114" s="43">
        <v>46167</v>
      </c>
      <c r="C114" s="42" t="s">
        <v>178</v>
      </c>
      <c r="D114" s="42" t="s">
        <v>177</v>
      </c>
      <c r="E114" s="42" t="s">
        <v>141</v>
      </c>
      <c r="F114" s="42" t="s">
        <v>155</v>
      </c>
      <c r="G114" s="41">
        <v>50</v>
      </c>
      <c r="H114" s="41"/>
      <c r="I114" s="40">
        <f>IF(B114="","",IF(I113="",MASTER!$C$7,I113)+N(H114)-N(G114))</f>
        <v>7543</v>
      </c>
      <c r="J114" s="39">
        <v>19000</v>
      </c>
      <c r="K114" s="22">
        <f t="shared" si="4"/>
        <v>950000</v>
      </c>
      <c r="L114" s="38" t="str">
        <f t="shared" si="5"/>
        <v/>
      </c>
      <c r="M114" s="37"/>
    </row>
    <row r="115" spans="1:13" x14ac:dyDescent="0.35">
      <c r="A115" s="44" t="str">
        <f t="shared" si="3"/>
        <v>May 2026</v>
      </c>
      <c r="B115" s="43">
        <v>46167</v>
      </c>
      <c r="C115" s="42" t="s">
        <v>311</v>
      </c>
      <c r="D115" s="42" t="s">
        <v>251</v>
      </c>
      <c r="E115" s="42" t="s">
        <v>141</v>
      </c>
      <c r="F115" s="42" t="s">
        <v>155</v>
      </c>
      <c r="G115" s="41">
        <v>50</v>
      </c>
      <c r="H115" s="41"/>
      <c r="I115" s="40">
        <f>IF(B115="","",IF(I114="",MASTER!$C$7,I114)+N(H115)-N(G115))</f>
        <v>7493</v>
      </c>
      <c r="J115" s="39">
        <v>19000</v>
      </c>
      <c r="K115" s="22">
        <f t="shared" si="4"/>
        <v>950000</v>
      </c>
      <c r="L115" s="38" t="str">
        <f t="shared" si="5"/>
        <v/>
      </c>
      <c r="M115" s="37"/>
    </row>
    <row r="116" spans="1:13" x14ac:dyDescent="0.35">
      <c r="A116" s="44" t="str">
        <f t="shared" si="3"/>
        <v>May 2026</v>
      </c>
      <c r="B116" s="43">
        <v>46167</v>
      </c>
      <c r="C116" s="42" t="s">
        <v>184</v>
      </c>
      <c r="D116" s="42" t="s">
        <v>254</v>
      </c>
      <c r="E116" s="42" t="s">
        <v>141</v>
      </c>
      <c r="F116" s="42" t="s">
        <v>155</v>
      </c>
      <c r="G116" s="41">
        <v>50</v>
      </c>
      <c r="H116" s="41"/>
      <c r="I116" s="40">
        <f>IF(B116="","",IF(I115="",MASTER!$C$7,I115)+N(H116)-N(G116))</f>
        <v>7443</v>
      </c>
      <c r="J116" s="39">
        <v>19000</v>
      </c>
      <c r="K116" s="22">
        <f t="shared" si="4"/>
        <v>950000</v>
      </c>
      <c r="L116" s="38" t="str">
        <f t="shared" si="5"/>
        <v/>
      </c>
      <c r="M116" s="37"/>
    </row>
    <row r="117" spans="1:13" x14ac:dyDescent="0.35">
      <c r="A117" s="44" t="str">
        <f t="shared" si="3"/>
        <v>May 2026</v>
      </c>
      <c r="B117" s="43">
        <v>46167</v>
      </c>
      <c r="C117" s="42" t="s">
        <v>197</v>
      </c>
      <c r="D117" s="42" t="s">
        <v>308</v>
      </c>
      <c r="E117" s="42" t="s">
        <v>54</v>
      </c>
      <c r="F117" s="42" t="s">
        <v>166</v>
      </c>
      <c r="G117" s="41">
        <v>200</v>
      </c>
      <c r="H117" s="41"/>
      <c r="I117" s="40">
        <f>IF(B117="","",IF(I116="",MASTER!$C$7,I116)+N(H117)-N(G117))</f>
        <v>7243</v>
      </c>
      <c r="J117" s="39">
        <v>19000</v>
      </c>
      <c r="K117" s="22">
        <f t="shared" si="4"/>
        <v>3800000</v>
      </c>
      <c r="L117" s="38" t="str">
        <f t="shared" si="5"/>
        <v/>
      </c>
      <c r="M117" s="37"/>
    </row>
    <row r="118" spans="1:13" x14ac:dyDescent="0.35">
      <c r="A118" s="44" t="str">
        <f t="shared" si="3"/>
        <v>May 2026</v>
      </c>
      <c r="B118" s="43">
        <v>46167</v>
      </c>
      <c r="C118" s="42" t="s">
        <v>170</v>
      </c>
      <c r="D118" s="42" t="s">
        <v>306</v>
      </c>
      <c r="E118" s="42" t="s">
        <v>54</v>
      </c>
      <c r="F118" s="42" t="s">
        <v>166</v>
      </c>
      <c r="G118" s="41">
        <v>150</v>
      </c>
      <c r="H118" s="41"/>
      <c r="I118" s="40">
        <f>IF(B118="","",IF(I117="",MASTER!$C$7,I117)+N(H118)-N(G118))</f>
        <v>7093</v>
      </c>
      <c r="J118" s="39">
        <v>19000</v>
      </c>
      <c r="K118" s="22">
        <f t="shared" si="4"/>
        <v>2850000</v>
      </c>
      <c r="L118" s="38" t="str">
        <f t="shared" si="5"/>
        <v/>
      </c>
      <c r="M118" s="37"/>
    </row>
    <row r="119" spans="1:13" x14ac:dyDescent="0.35">
      <c r="A119" s="44" t="str">
        <f t="shared" si="3"/>
        <v>May 2026</v>
      </c>
      <c r="B119" s="43">
        <v>46167</v>
      </c>
      <c r="C119" s="42" t="s">
        <v>286</v>
      </c>
      <c r="D119" s="42" t="s">
        <v>167</v>
      </c>
      <c r="E119" s="42" t="s">
        <v>54</v>
      </c>
      <c r="F119" s="42" t="s">
        <v>166</v>
      </c>
      <c r="G119" s="41">
        <v>150</v>
      </c>
      <c r="H119" s="41"/>
      <c r="I119" s="40">
        <f>IF(B119="","",IF(I118="",MASTER!$C$7,I118)+N(H119)-N(G119))</f>
        <v>6943</v>
      </c>
      <c r="J119" s="39">
        <v>19000</v>
      </c>
      <c r="K119" s="22">
        <f t="shared" si="4"/>
        <v>2850000</v>
      </c>
      <c r="L119" s="38" t="str">
        <f t="shared" si="5"/>
        <v/>
      </c>
      <c r="M119" s="37"/>
    </row>
    <row r="120" spans="1:13" x14ac:dyDescent="0.35">
      <c r="A120" s="44" t="str">
        <f t="shared" si="3"/>
        <v>May 2026</v>
      </c>
      <c r="B120" s="43">
        <v>46167</v>
      </c>
      <c r="C120" s="42" t="s">
        <v>159</v>
      </c>
      <c r="D120" s="42" t="s">
        <v>41</v>
      </c>
      <c r="E120" s="42" t="s">
        <v>54</v>
      </c>
      <c r="F120" s="42" t="s">
        <v>157</v>
      </c>
      <c r="G120" s="41">
        <v>100</v>
      </c>
      <c r="H120" s="41"/>
      <c r="I120" s="40">
        <f>IF(B120="","",IF(I119="",MASTER!$C$7,I119)+N(H120)-N(G120))</f>
        <v>6843</v>
      </c>
      <c r="J120" s="39">
        <v>19000</v>
      </c>
      <c r="K120" s="22">
        <f t="shared" si="4"/>
        <v>1900000</v>
      </c>
      <c r="L120" s="38" t="str">
        <f t="shared" si="5"/>
        <v/>
      </c>
      <c r="M120" s="37"/>
    </row>
    <row r="121" spans="1:13" x14ac:dyDescent="0.35">
      <c r="A121" s="44" t="str">
        <f t="shared" si="3"/>
        <v>May 2026</v>
      </c>
      <c r="B121" s="43">
        <v>46168</v>
      </c>
      <c r="C121" s="42" t="s">
        <v>197</v>
      </c>
      <c r="D121" s="42" t="s">
        <v>308</v>
      </c>
      <c r="E121" s="42" t="s">
        <v>54</v>
      </c>
      <c r="F121" s="42" t="s">
        <v>166</v>
      </c>
      <c r="G121" s="41">
        <v>150</v>
      </c>
      <c r="H121" s="41"/>
      <c r="I121" s="40">
        <f>IF(B121="","",IF(I120="",MASTER!$C$7,I120)+N(H121)-N(G121))</f>
        <v>6693</v>
      </c>
      <c r="J121" s="39">
        <v>19000</v>
      </c>
      <c r="K121" s="22">
        <f t="shared" si="4"/>
        <v>2850000</v>
      </c>
      <c r="L121" s="38" t="str">
        <f t="shared" si="5"/>
        <v/>
      </c>
      <c r="M121" s="37"/>
    </row>
    <row r="122" spans="1:13" x14ac:dyDescent="0.35">
      <c r="A122" s="44" t="str">
        <f t="shared" si="3"/>
        <v>May 2026</v>
      </c>
      <c r="B122" s="43">
        <v>46168</v>
      </c>
      <c r="C122" s="42" t="s">
        <v>99</v>
      </c>
      <c r="D122" s="42" t="s">
        <v>257</v>
      </c>
      <c r="E122" s="42" t="s">
        <v>141</v>
      </c>
      <c r="F122" s="42" t="s">
        <v>166</v>
      </c>
      <c r="G122" s="41">
        <v>50</v>
      </c>
      <c r="H122" s="41"/>
      <c r="I122" s="40">
        <f>IF(B122="","",IF(I121="",MASTER!$C$7,I121)+N(H122)-N(G122))</f>
        <v>6643</v>
      </c>
      <c r="J122" s="39">
        <v>19000</v>
      </c>
      <c r="K122" s="22">
        <f t="shared" si="4"/>
        <v>950000</v>
      </c>
      <c r="L122" s="38" t="str">
        <f t="shared" si="5"/>
        <v/>
      </c>
      <c r="M122" s="37"/>
    </row>
    <row r="123" spans="1:13" x14ac:dyDescent="0.35">
      <c r="A123" s="44" t="str">
        <f t="shared" si="3"/>
        <v>May 2026</v>
      </c>
      <c r="B123" s="43">
        <v>46172</v>
      </c>
      <c r="C123" s="42" t="s">
        <v>192</v>
      </c>
      <c r="D123" s="42" t="s">
        <v>191</v>
      </c>
      <c r="E123" s="42" t="s">
        <v>141</v>
      </c>
      <c r="F123" s="42" t="s">
        <v>166</v>
      </c>
      <c r="G123" s="41">
        <v>100</v>
      </c>
      <c r="H123" s="41"/>
      <c r="I123" s="40">
        <f>IF(B123="","",IF(I122="",MASTER!$C$7,I122)+N(H123)-N(G123))</f>
        <v>6543</v>
      </c>
      <c r="J123" s="39">
        <v>19000</v>
      </c>
      <c r="K123" s="22">
        <f t="shared" si="4"/>
        <v>1900000</v>
      </c>
      <c r="L123" s="38" t="str">
        <f t="shared" si="5"/>
        <v/>
      </c>
      <c r="M123" s="37"/>
    </row>
    <row r="124" spans="1:13" x14ac:dyDescent="0.35">
      <c r="A124" s="44" t="str">
        <f t="shared" si="3"/>
        <v>May 2026</v>
      </c>
      <c r="B124" s="43">
        <v>46172</v>
      </c>
      <c r="C124" s="42" t="s">
        <v>234</v>
      </c>
      <c r="D124" s="42" t="s">
        <v>310</v>
      </c>
      <c r="E124" s="42" t="s">
        <v>141</v>
      </c>
      <c r="F124" s="42" t="s">
        <v>166</v>
      </c>
      <c r="G124" s="41">
        <v>200</v>
      </c>
      <c r="H124" s="41"/>
      <c r="I124" s="40">
        <f>IF(B124="","",IF(I123="",MASTER!$C$7,I123)+N(H124)-N(G124))</f>
        <v>6343</v>
      </c>
      <c r="J124" s="39">
        <v>19000</v>
      </c>
      <c r="K124" s="22">
        <f t="shared" si="4"/>
        <v>3800000</v>
      </c>
      <c r="L124" s="38" t="str">
        <f t="shared" si="5"/>
        <v/>
      </c>
      <c r="M124" s="37"/>
    </row>
    <row r="125" spans="1:13" x14ac:dyDescent="0.35">
      <c r="A125" s="44" t="str">
        <f t="shared" si="3"/>
        <v>May 2026</v>
      </c>
      <c r="B125" s="43">
        <v>46172</v>
      </c>
      <c r="C125" s="42" t="s">
        <v>263</v>
      </c>
      <c r="D125" s="42" t="s">
        <v>309</v>
      </c>
      <c r="E125" s="42" t="s">
        <v>141</v>
      </c>
      <c r="F125" s="42" t="s">
        <v>166</v>
      </c>
      <c r="G125" s="41">
        <v>200</v>
      </c>
      <c r="H125" s="41"/>
      <c r="I125" s="40">
        <f>IF(B125="","",IF(I124="",MASTER!$C$7,I124)+N(H125)-N(G125))</f>
        <v>6143</v>
      </c>
      <c r="J125" s="39">
        <v>19000</v>
      </c>
      <c r="K125" s="22">
        <f t="shared" si="4"/>
        <v>3800000</v>
      </c>
      <c r="L125" s="38" t="str">
        <f t="shared" si="5"/>
        <v/>
      </c>
      <c r="M125" s="37"/>
    </row>
    <row r="126" spans="1:13" x14ac:dyDescent="0.35">
      <c r="A126" s="44" t="str">
        <f t="shared" si="3"/>
        <v>May 2026</v>
      </c>
      <c r="B126" s="43">
        <v>46172</v>
      </c>
      <c r="C126" s="42" t="s">
        <v>197</v>
      </c>
      <c r="D126" s="42" t="s">
        <v>308</v>
      </c>
      <c r="E126" s="42" t="s">
        <v>141</v>
      </c>
      <c r="F126" s="42" t="s">
        <v>166</v>
      </c>
      <c r="G126" s="41">
        <v>100</v>
      </c>
      <c r="H126" s="41"/>
      <c r="I126" s="40">
        <f>IF(B126="","",IF(I125="",MASTER!$C$7,I125)+N(H126)-N(G126))</f>
        <v>6043</v>
      </c>
      <c r="J126" s="39">
        <v>19000</v>
      </c>
      <c r="K126" s="22">
        <f t="shared" si="4"/>
        <v>1900000</v>
      </c>
      <c r="L126" s="38" t="str">
        <f t="shared" si="5"/>
        <v/>
      </c>
      <c r="M126" s="37"/>
    </row>
    <row r="127" spans="1:13" x14ac:dyDescent="0.35">
      <c r="A127" s="44" t="str">
        <f t="shared" si="3"/>
        <v>May 2026</v>
      </c>
      <c r="B127" s="43">
        <v>46172</v>
      </c>
      <c r="C127" s="42" t="s">
        <v>159</v>
      </c>
      <c r="D127" s="42" t="s">
        <v>41</v>
      </c>
      <c r="E127" s="42" t="s">
        <v>141</v>
      </c>
      <c r="F127" s="42" t="s">
        <v>157</v>
      </c>
      <c r="G127" s="41">
        <v>100</v>
      </c>
      <c r="H127" s="41"/>
      <c r="I127" s="40">
        <f>IF(B127="","",IF(I126="",MASTER!$C$7,I126)+N(H127)-N(G127))</f>
        <v>5943</v>
      </c>
      <c r="J127" s="39">
        <v>19000</v>
      </c>
      <c r="K127" s="22">
        <f t="shared" si="4"/>
        <v>1900000</v>
      </c>
      <c r="L127" s="38" t="str">
        <f t="shared" si="5"/>
        <v/>
      </c>
      <c r="M127" s="37"/>
    </row>
    <row r="128" spans="1:13" x14ac:dyDescent="0.35">
      <c r="A128" s="44" t="str">
        <f t="shared" si="3"/>
        <v>May 2026</v>
      </c>
      <c r="B128" s="43">
        <v>46172</v>
      </c>
      <c r="C128" s="42" t="s">
        <v>274</v>
      </c>
      <c r="D128" s="42" t="s">
        <v>40</v>
      </c>
      <c r="E128" s="42" t="s">
        <v>141</v>
      </c>
      <c r="F128" s="42" t="s">
        <v>157</v>
      </c>
      <c r="G128" s="41">
        <v>100</v>
      </c>
      <c r="H128" s="41"/>
      <c r="I128" s="40">
        <f>IF(B128="","",IF(I127="",MASTER!$C$7,I127)+N(H128)-N(G128))</f>
        <v>5843</v>
      </c>
      <c r="J128" s="39">
        <v>19000</v>
      </c>
      <c r="K128" s="22">
        <f t="shared" si="4"/>
        <v>1900000</v>
      </c>
      <c r="L128" s="38" t="str">
        <f t="shared" si="5"/>
        <v/>
      </c>
      <c r="M128" s="37"/>
    </row>
    <row r="129" spans="1:13" x14ac:dyDescent="0.35">
      <c r="A129" s="44" t="str">
        <f t="shared" si="3"/>
        <v>May 2026</v>
      </c>
      <c r="B129" s="43">
        <v>46172</v>
      </c>
      <c r="C129" s="42" t="s">
        <v>174</v>
      </c>
      <c r="D129" s="42" t="s">
        <v>198</v>
      </c>
      <c r="E129" s="42" t="s">
        <v>141</v>
      </c>
      <c r="F129" s="42" t="s">
        <v>166</v>
      </c>
      <c r="G129" s="41">
        <v>200</v>
      </c>
      <c r="H129" s="41"/>
      <c r="I129" s="40">
        <f>IF(B129="","",IF(I128="",MASTER!$C$7,I128)+N(H129)-N(G129))</f>
        <v>5643</v>
      </c>
      <c r="J129" s="39">
        <v>19000</v>
      </c>
      <c r="K129" s="22">
        <f t="shared" si="4"/>
        <v>3800000</v>
      </c>
      <c r="L129" s="38" t="str">
        <f t="shared" si="5"/>
        <v/>
      </c>
      <c r="M129" s="37"/>
    </row>
    <row r="130" spans="1:13" x14ac:dyDescent="0.35">
      <c r="A130" s="44" t="str">
        <f t="shared" si="3"/>
        <v>May 2026</v>
      </c>
      <c r="B130" s="43">
        <v>46172</v>
      </c>
      <c r="C130" s="42" t="s">
        <v>307</v>
      </c>
      <c r="D130" s="42" t="s">
        <v>259</v>
      </c>
      <c r="E130" s="42" t="s">
        <v>141</v>
      </c>
      <c r="F130" s="42" t="s">
        <v>166</v>
      </c>
      <c r="G130" s="41">
        <v>200</v>
      </c>
      <c r="H130" s="41"/>
      <c r="I130" s="40">
        <f>IF(B130="","",IF(I129="",MASTER!$C$7,I129)+N(H130)-N(G130))</f>
        <v>5443</v>
      </c>
      <c r="J130" s="39">
        <v>19000</v>
      </c>
      <c r="K130" s="22">
        <f t="shared" si="4"/>
        <v>3800000</v>
      </c>
      <c r="L130" s="38" t="str">
        <f t="shared" si="5"/>
        <v/>
      </c>
      <c r="M130" s="37"/>
    </row>
    <row r="131" spans="1:13" x14ac:dyDescent="0.35">
      <c r="A131" s="44" t="str">
        <f t="shared" ref="A131:A194" si="6">IF(B131="","",TEXT(B131,"MMMM YYYY"))</f>
        <v>May 2026</v>
      </c>
      <c r="B131" s="43">
        <v>46172</v>
      </c>
      <c r="C131" s="42" t="s">
        <v>202</v>
      </c>
      <c r="D131" s="42" t="s">
        <v>201</v>
      </c>
      <c r="E131" s="42" t="s">
        <v>141</v>
      </c>
      <c r="F131" s="42" t="s">
        <v>166</v>
      </c>
      <c r="G131" s="41">
        <v>100</v>
      </c>
      <c r="H131" s="41"/>
      <c r="I131" s="40">
        <f>IF(B131="","",IF(I130="",MASTER!$C$7,I130)+N(H131)-N(G131))</f>
        <v>5343</v>
      </c>
      <c r="J131" s="39">
        <v>19000</v>
      </c>
      <c r="K131" s="22">
        <f t="shared" ref="K131:K194" si="7">IF(OR(B131="",J131=""),"",N(G131)*J131)</f>
        <v>1900000</v>
      </c>
      <c r="L131" s="38" t="str">
        <f t="shared" ref="L131:L194" si="8">IF(OR(B131="",H131="",J131=""),"",N(H131)*J131)</f>
        <v/>
      </c>
      <c r="M131" s="37"/>
    </row>
    <row r="132" spans="1:13" x14ac:dyDescent="0.35">
      <c r="A132" s="44" t="str">
        <f t="shared" si="6"/>
        <v>May 2026</v>
      </c>
      <c r="B132" s="43">
        <v>46172</v>
      </c>
      <c r="C132" s="42" t="s">
        <v>286</v>
      </c>
      <c r="D132" s="42" t="s">
        <v>167</v>
      </c>
      <c r="E132" s="42" t="s">
        <v>141</v>
      </c>
      <c r="F132" s="42" t="s">
        <v>166</v>
      </c>
      <c r="G132" s="41">
        <v>200</v>
      </c>
      <c r="H132" s="41"/>
      <c r="I132" s="40">
        <f>IF(B132="","",IF(I131="",MASTER!$C$7,I131)+N(H132)-N(G132))</f>
        <v>5143</v>
      </c>
      <c r="J132" s="39">
        <v>19000</v>
      </c>
      <c r="K132" s="22">
        <f t="shared" si="7"/>
        <v>3800000</v>
      </c>
      <c r="L132" s="38" t="str">
        <f t="shared" si="8"/>
        <v/>
      </c>
      <c r="M132" s="37"/>
    </row>
    <row r="133" spans="1:13" x14ac:dyDescent="0.35">
      <c r="A133" s="44" t="str">
        <f t="shared" si="6"/>
        <v>May 2026</v>
      </c>
      <c r="B133" s="43">
        <v>46172</v>
      </c>
      <c r="C133" s="42" t="s">
        <v>170</v>
      </c>
      <c r="D133" s="42" t="s">
        <v>306</v>
      </c>
      <c r="E133" s="42" t="s">
        <v>141</v>
      </c>
      <c r="F133" s="42" t="s">
        <v>166</v>
      </c>
      <c r="G133" s="41">
        <v>250</v>
      </c>
      <c r="H133" s="41"/>
      <c r="I133" s="40">
        <f>IF(B133="","",IF(I132="",MASTER!$C$7,I132)+N(H133)-N(G133))</f>
        <v>4893</v>
      </c>
      <c r="J133" s="39">
        <v>19000</v>
      </c>
      <c r="K133" s="22">
        <f t="shared" si="7"/>
        <v>4750000</v>
      </c>
      <c r="L133" s="38" t="str">
        <f t="shared" si="8"/>
        <v/>
      </c>
      <c r="M133" s="37"/>
    </row>
    <row r="134" spans="1:13" x14ac:dyDescent="0.35">
      <c r="A134" s="44" t="str">
        <f t="shared" si="6"/>
        <v>May 2026</v>
      </c>
      <c r="B134" s="43">
        <v>46172</v>
      </c>
      <c r="C134" s="42" t="s">
        <v>184</v>
      </c>
      <c r="D134" s="42" t="s">
        <v>254</v>
      </c>
      <c r="E134" s="42" t="s">
        <v>141</v>
      </c>
      <c r="F134" s="42" t="s">
        <v>155</v>
      </c>
      <c r="G134" s="41">
        <v>50</v>
      </c>
      <c r="H134" s="41"/>
      <c r="I134" s="40">
        <f>IF(B134="","",IF(I133="",MASTER!$C$7,I133)+N(H134)-N(G134))</f>
        <v>4843</v>
      </c>
      <c r="J134" s="39">
        <v>19000</v>
      </c>
      <c r="K134" s="22">
        <f t="shared" si="7"/>
        <v>950000</v>
      </c>
      <c r="L134" s="38" t="str">
        <f t="shared" si="8"/>
        <v/>
      </c>
      <c r="M134" s="37"/>
    </row>
    <row r="135" spans="1:13" x14ac:dyDescent="0.35">
      <c r="A135" s="44" t="str">
        <f t="shared" si="6"/>
        <v>May 2026</v>
      </c>
      <c r="B135" s="43">
        <v>46172</v>
      </c>
      <c r="C135" s="42" t="s">
        <v>252</v>
      </c>
      <c r="D135" s="42" t="s">
        <v>251</v>
      </c>
      <c r="E135" s="42" t="s">
        <v>141</v>
      </c>
      <c r="F135" s="42" t="s">
        <v>155</v>
      </c>
      <c r="G135" s="41">
        <v>50</v>
      </c>
      <c r="H135" s="41"/>
      <c r="I135" s="40">
        <f>IF(B135="","",IF(I134="",MASTER!$C$7,I134)+N(H135)-N(G135))</f>
        <v>4793</v>
      </c>
      <c r="J135" s="39">
        <v>19000</v>
      </c>
      <c r="K135" s="22">
        <f t="shared" si="7"/>
        <v>950000</v>
      </c>
      <c r="L135" s="38" t="str">
        <f t="shared" si="8"/>
        <v/>
      </c>
      <c r="M135" s="37"/>
    </row>
    <row r="136" spans="1:13" x14ac:dyDescent="0.35">
      <c r="A136" s="44" t="str">
        <f t="shared" si="6"/>
        <v>May 2026</v>
      </c>
      <c r="B136" s="43">
        <v>46172</v>
      </c>
      <c r="C136" s="42" t="s">
        <v>178</v>
      </c>
      <c r="D136" s="42" t="s">
        <v>177</v>
      </c>
      <c r="E136" s="42" t="s">
        <v>141</v>
      </c>
      <c r="F136" s="42" t="s">
        <v>155</v>
      </c>
      <c r="G136" s="41">
        <v>50</v>
      </c>
      <c r="H136" s="41"/>
      <c r="I136" s="40">
        <f>IF(B136="","",IF(I135="",MASTER!$C$7,I135)+N(H136)-N(G136))</f>
        <v>4743</v>
      </c>
      <c r="J136" s="39">
        <v>19000</v>
      </c>
      <c r="K136" s="22">
        <f t="shared" si="7"/>
        <v>950000</v>
      </c>
      <c r="L136" s="38" t="str">
        <f t="shared" si="8"/>
        <v/>
      </c>
      <c r="M136" s="37"/>
    </row>
    <row r="137" spans="1:13" x14ac:dyDescent="0.35">
      <c r="A137" s="44" t="str">
        <f t="shared" si="6"/>
        <v>May 2026</v>
      </c>
      <c r="B137" s="43">
        <v>46172</v>
      </c>
      <c r="C137" s="42" t="s">
        <v>305</v>
      </c>
      <c r="D137" s="42" t="s">
        <v>179</v>
      </c>
      <c r="E137" s="42" t="s">
        <v>141</v>
      </c>
      <c r="F137" s="42" t="s">
        <v>155</v>
      </c>
      <c r="G137" s="41">
        <v>50</v>
      </c>
      <c r="H137" s="41"/>
      <c r="I137" s="40">
        <f>IF(B137="","",IF(I136="",MASTER!$C$7,I136)+N(H137)-N(G137))</f>
        <v>4693</v>
      </c>
      <c r="J137" s="39">
        <v>19000</v>
      </c>
      <c r="K137" s="22">
        <f t="shared" si="7"/>
        <v>950000</v>
      </c>
      <c r="L137" s="38" t="str">
        <f t="shared" si="8"/>
        <v/>
      </c>
      <c r="M137" s="37"/>
    </row>
    <row r="138" spans="1:13" x14ac:dyDescent="0.35">
      <c r="A138" s="44" t="str">
        <f t="shared" si="6"/>
        <v>May 2026</v>
      </c>
      <c r="B138" s="43">
        <v>46172</v>
      </c>
      <c r="C138" s="42" t="s">
        <v>176</v>
      </c>
      <c r="D138" s="42" t="s">
        <v>175</v>
      </c>
      <c r="E138" s="42" t="s">
        <v>141</v>
      </c>
      <c r="F138" s="42" t="s">
        <v>155</v>
      </c>
      <c r="G138" s="41">
        <v>50</v>
      </c>
      <c r="H138" s="41"/>
      <c r="I138" s="40">
        <f>IF(B138="","",IF(I137="",MASTER!$C$7,I137)+N(H138)-N(G138))</f>
        <v>4643</v>
      </c>
      <c r="J138" s="39">
        <v>19000</v>
      </c>
      <c r="K138" s="22">
        <f t="shared" si="7"/>
        <v>950000</v>
      </c>
      <c r="L138" s="38" t="str">
        <f t="shared" si="8"/>
        <v/>
      </c>
      <c r="M138" s="37"/>
    </row>
    <row r="139" spans="1:13" x14ac:dyDescent="0.35">
      <c r="A139" s="44" t="str">
        <f t="shared" si="6"/>
        <v>May 2026</v>
      </c>
      <c r="B139" s="43">
        <v>46173</v>
      </c>
      <c r="C139" s="42" t="s">
        <v>185</v>
      </c>
      <c r="D139" s="42" t="s">
        <v>183</v>
      </c>
      <c r="E139" s="42" t="s">
        <v>141</v>
      </c>
      <c r="F139" s="42" t="s">
        <v>155</v>
      </c>
      <c r="G139" s="41">
        <v>50</v>
      </c>
      <c r="H139" s="41">
        <v>5000</v>
      </c>
      <c r="I139" s="40">
        <f>IF(B139="","",IF(I138="",MASTER!$C$7,I138)+N(H139)-N(G139))</f>
        <v>9593</v>
      </c>
      <c r="J139" s="39">
        <v>19000</v>
      </c>
      <c r="K139" s="22">
        <f t="shared" si="7"/>
        <v>950000</v>
      </c>
      <c r="L139" s="38">
        <f t="shared" si="8"/>
        <v>95000000</v>
      </c>
      <c r="M139" s="37"/>
    </row>
    <row r="140" spans="1:13" x14ac:dyDescent="0.35">
      <c r="A140" s="44" t="str">
        <f t="shared" si="6"/>
        <v>May 2026</v>
      </c>
      <c r="B140" s="43">
        <v>46173</v>
      </c>
      <c r="C140" s="42" t="s">
        <v>182</v>
      </c>
      <c r="D140" s="42" t="s">
        <v>181</v>
      </c>
      <c r="E140" s="42" t="s">
        <v>141</v>
      </c>
      <c r="F140" s="42" t="s">
        <v>155</v>
      </c>
      <c r="G140" s="41">
        <v>50</v>
      </c>
      <c r="H140" s="41"/>
      <c r="I140" s="40">
        <f>IF(B140="","",IF(I139="",MASTER!$C$7,I139)+N(H140)-N(G140))</f>
        <v>9543</v>
      </c>
      <c r="J140" s="39">
        <v>19000</v>
      </c>
      <c r="K140" s="22">
        <f t="shared" si="7"/>
        <v>950000</v>
      </c>
      <c r="L140" s="38" t="str">
        <f t="shared" si="8"/>
        <v/>
      </c>
      <c r="M140" s="37"/>
    </row>
    <row r="141" spans="1:13" x14ac:dyDescent="0.35">
      <c r="A141" s="44" t="str">
        <f t="shared" si="6"/>
        <v>May 2026</v>
      </c>
      <c r="B141" s="43">
        <v>46173</v>
      </c>
      <c r="C141" s="42" t="s">
        <v>176</v>
      </c>
      <c r="D141" s="42" t="s">
        <v>175</v>
      </c>
      <c r="E141" s="42" t="s">
        <v>141</v>
      </c>
      <c r="F141" s="42" t="s">
        <v>155</v>
      </c>
      <c r="G141" s="41">
        <v>50</v>
      </c>
      <c r="H141" s="41"/>
      <c r="I141" s="40">
        <f>IF(B141="","",IF(I140="",MASTER!$C$7,I140)+N(H141)-N(G141))</f>
        <v>9493</v>
      </c>
      <c r="J141" s="39">
        <v>19000</v>
      </c>
      <c r="K141" s="22">
        <f t="shared" si="7"/>
        <v>950000</v>
      </c>
      <c r="L141" s="38" t="str">
        <f t="shared" si="8"/>
        <v/>
      </c>
      <c r="M141" s="37"/>
    </row>
    <row r="142" spans="1:13" x14ac:dyDescent="0.35">
      <c r="A142" s="44" t="str">
        <f t="shared" si="6"/>
        <v>May 2026</v>
      </c>
      <c r="B142" s="43">
        <v>46173</v>
      </c>
      <c r="C142" s="42" t="s">
        <v>250</v>
      </c>
      <c r="D142" s="42" t="s">
        <v>304</v>
      </c>
      <c r="E142" s="42" t="s">
        <v>141</v>
      </c>
      <c r="F142" s="42" t="s">
        <v>155</v>
      </c>
      <c r="G142" s="41">
        <v>50</v>
      </c>
      <c r="H142" s="41"/>
      <c r="I142" s="40">
        <f>IF(B142="","",IF(I141="",MASTER!$C$7,I141)+N(H142)-N(G142))</f>
        <v>9443</v>
      </c>
      <c r="J142" s="39">
        <v>19000</v>
      </c>
      <c r="K142" s="22">
        <f t="shared" si="7"/>
        <v>950000</v>
      </c>
      <c r="L142" s="38" t="str">
        <f t="shared" si="8"/>
        <v/>
      </c>
      <c r="M142" s="37"/>
    </row>
    <row r="143" spans="1:13" x14ac:dyDescent="0.35">
      <c r="A143" s="44" t="str">
        <f t="shared" si="6"/>
        <v>May 2026</v>
      </c>
      <c r="B143" s="43">
        <v>46173</v>
      </c>
      <c r="C143" s="42" t="s">
        <v>184</v>
      </c>
      <c r="D143" s="42" t="s">
        <v>254</v>
      </c>
      <c r="E143" s="42" t="s">
        <v>141</v>
      </c>
      <c r="F143" s="42" t="s">
        <v>155</v>
      </c>
      <c r="G143" s="41">
        <v>50</v>
      </c>
      <c r="H143" s="41"/>
      <c r="I143" s="40">
        <f>IF(B143="","",IF(I142="",MASTER!$C$7,I142)+N(H143)-N(G143))</f>
        <v>9393</v>
      </c>
      <c r="J143" s="39">
        <v>19000</v>
      </c>
      <c r="K143" s="22">
        <f t="shared" si="7"/>
        <v>950000</v>
      </c>
      <c r="L143" s="38" t="str">
        <f t="shared" si="8"/>
        <v/>
      </c>
      <c r="M143" s="37"/>
    </row>
    <row r="144" spans="1:13" x14ac:dyDescent="0.35">
      <c r="A144" s="44" t="str">
        <f t="shared" si="6"/>
        <v>May 2026</v>
      </c>
      <c r="B144" s="43">
        <v>46173</v>
      </c>
      <c r="C144" s="42" t="s">
        <v>228</v>
      </c>
      <c r="D144" s="42" t="s">
        <v>179</v>
      </c>
      <c r="E144" s="42" t="s">
        <v>141</v>
      </c>
      <c r="F144" s="42" t="s">
        <v>155</v>
      </c>
      <c r="G144" s="41">
        <v>50</v>
      </c>
      <c r="H144" s="41"/>
      <c r="I144" s="40">
        <f>IF(B144="","",IF(I143="",MASTER!$C$7,I143)+N(H144)-N(G144))</f>
        <v>9343</v>
      </c>
      <c r="J144" s="39">
        <v>19000</v>
      </c>
      <c r="K144" s="22">
        <f t="shared" si="7"/>
        <v>950000</v>
      </c>
      <c r="L144" s="38" t="str">
        <f t="shared" si="8"/>
        <v/>
      </c>
      <c r="M144" s="37"/>
    </row>
    <row r="145" spans="1:13" x14ac:dyDescent="0.35">
      <c r="A145" s="44" t="str">
        <f t="shared" si="6"/>
        <v>May 2026</v>
      </c>
      <c r="B145" s="43">
        <v>46173</v>
      </c>
      <c r="C145" s="42" t="s">
        <v>250</v>
      </c>
      <c r="D145" s="42" t="s">
        <v>287</v>
      </c>
      <c r="E145" s="42" t="s">
        <v>141</v>
      </c>
      <c r="F145" s="42" t="s">
        <v>155</v>
      </c>
      <c r="G145" s="41">
        <v>50</v>
      </c>
      <c r="H145" s="41"/>
      <c r="I145" s="40">
        <f>IF(B145="","",IF(I144="",MASTER!$C$7,I144)+N(H145)-N(G145))</f>
        <v>9293</v>
      </c>
      <c r="J145" s="39">
        <v>19000</v>
      </c>
      <c r="K145" s="22">
        <f t="shared" si="7"/>
        <v>950000</v>
      </c>
      <c r="L145" s="38" t="str">
        <f t="shared" si="8"/>
        <v/>
      </c>
      <c r="M145" s="37"/>
    </row>
    <row r="146" spans="1:13" x14ac:dyDescent="0.35">
      <c r="A146" s="44" t="str">
        <f t="shared" si="6"/>
        <v>May 2026</v>
      </c>
      <c r="B146" s="43">
        <v>46173</v>
      </c>
      <c r="C146" s="42" t="s">
        <v>215</v>
      </c>
      <c r="D146" s="42" t="s">
        <v>281</v>
      </c>
      <c r="E146" s="42" t="s">
        <v>141</v>
      </c>
      <c r="F146" s="42" t="s">
        <v>155</v>
      </c>
      <c r="G146" s="41">
        <v>50</v>
      </c>
      <c r="H146" s="41"/>
      <c r="I146" s="40">
        <f>IF(B146="","",IF(I145="",MASTER!$C$7,I145)+N(H146)-N(G146))</f>
        <v>9243</v>
      </c>
      <c r="J146" s="39">
        <v>19000</v>
      </c>
      <c r="K146" s="22">
        <f t="shared" si="7"/>
        <v>950000</v>
      </c>
      <c r="L146" s="38" t="str">
        <f t="shared" si="8"/>
        <v/>
      </c>
      <c r="M146" s="37"/>
    </row>
    <row r="147" spans="1:13" x14ac:dyDescent="0.35">
      <c r="A147" s="44" t="str">
        <f t="shared" si="6"/>
        <v>May 2026</v>
      </c>
      <c r="B147" s="43">
        <v>46173</v>
      </c>
      <c r="C147" s="42" t="s">
        <v>303</v>
      </c>
      <c r="D147" s="42" t="s">
        <v>251</v>
      </c>
      <c r="E147" s="42" t="s">
        <v>141</v>
      </c>
      <c r="F147" s="42" t="s">
        <v>155</v>
      </c>
      <c r="G147" s="41">
        <v>50</v>
      </c>
      <c r="H147" s="41"/>
      <c r="I147" s="40">
        <f>IF(B147="","",IF(I146="",MASTER!$C$7,I146)+N(H147)-N(G147))</f>
        <v>9193</v>
      </c>
      <c r="J147" s="39">
        <v>19000</v>
      </c>
      <c r="K147" s="22">
        <f t="shared" si="7"/>
        <v>950000</v>
      </c>
      <c r="L147" s="38" t="str">
        <f t="shared" si="8"/>
        <v/>
      </c>
      <c r="M147" s="37"/>
    </row>
    <row r="148" spans="1:13" x14ac:dyDescent="0.35">
      <c r="A148" s="44" t="str">
        <f t="shared" si="6"/>
        <v>May 2026</v>
      </c>
      <c r="B148" s="43">
        <v>46173</v>
      </c>
      <c r="C148" s="42" t="s">
        <v>211</v>
      </c>
      <c r="D148" s="42" t="s">
        <v>302</v>
      </c>
      <c r="E148" s="42" t="s">
        <v>141</v>
      </c>
      <c r="F148" s="42" t="s">
        <v>209</v>
      </c>
      <c r="G148" s="41">
        <v>100</v>
      </c>
      <c r="H148" s="41"/>
      <c r="I148" s="40">
        <f>IF(B148="","",IF(I147="",MASTER!$C$7,I147)+N(H148)-N(G148))</f>
        <v>9093</v>
      </c>
      <c r="J148" s="39">
        <v>19000</v>
      </c>
      <c r="K148" s="22">
        <f t="shared" si="7"/>
        <v>1900000</v>
      </c>
      <c r="L148" s="38" t="str">
        <f t="shared" si="8"/>
        <v/>
      </c>
      <c r="M148" s="37"/>
    </row>
    <row r="149" spans="1:13" x14ac:dyDescent="0.35">
      <c r="A149" s="44" t="str">
        <f t="shared" si="6"/>
        <v>May 2026</v>
      </c>
      <c r="B149" s="43">
        <v>46173</v>
      </c>
      <c r="C149" s="42" t="s">
        <v>301</v>
      </c>
      <c r="D149" s="42" t="s">
        <v>300</v>
      </c>
      <c r="E149" s="42" t="s">
        <v>141</v>
      </c>
      <c r="F149" s="42" t="s">
        <v>209</v>
      </c>
      <c r="G149" s="41">
        <v>100</v>
      </c>
      <c r="H149" s="41"/>
      <c r="I149" s="40">
        <f>IF(B149="","",IF(I148="",MASTER!$C$7,I148)+N(H149)-N(G149))</f>
        <v>8993</v>
      </c>
      <c r="J149" s="39">
        <v>19000</v>
      </c>
      <c r="K149" s="22">
        <f t="shared" si="7"/>
        <v>1900000</v>
      </c>
      <c r="L149" s="38" t="str">
        <f t="shared" si="8"/>
        <v/>
      </c>
      <c r="M149" s="37"/>
    </row>
    <row r="150" spans="1:13" x14ac:dyDescent="0.35">
      <c r="A150" s="44" t="str">
        <f t="shared" si="6"/>
        <v>May 2026</v>
      </c>
      <c r="B150" s="43">
        <v>46173</v>
      </c>
      <c r="C150" s="42" t="s">
        <v>299</v>
      </c>
      <c r="D150" s="42" t="s">
        <v>298</v>
      </c>
      <c r="E150" s="42" t="s">
        <v>141</v>
      </c>
      <c r="F150" s="42" t="s">
        <v>209</v>
      </c>
      <c r="G150" s="41">
        <v>100</v>
      </c>
      <c r="H150" s="41"/>
      <c r="I150" s="40">
        <f>IF(B150="","",IF(I149="",MASTER!$C$7,I149)+N(H150)-N(G150))</f>
        <v>8893</v>
      </c>
      <c r="J150" s="39">
        <v>19000</v>
      </c>
      <c r="K150" s="22">
        <f t="shared" si="7"/>
        <v>1900000</v>
      </c>
      <c r="L150" s="38" t="str">
        <f t="shared" si="8"/>
        <v/>
      </c>
      <c r="M150" s="37"/>
    </row>
    <row r="151" spans="1:13" x14ac:dyDescent="0.35">
      <c r="A151" s="44" t="str">
        <f t="shared" si="6"/>
        <v>May 2026</v>
      </c>
      <c r="B151" s="43">
        <v>46173</v>
      </c>
      <c r="C151" s="42" t="s">
        <v>195</v>
      </c>
      <c r="D151" s="42" t="s">
        <v>244</v>
      </c>
      <c r="E151" s="42" t="s">
        <v>141</v>
      </c>
      <c r="F151" s="42" t="s">
        <v>166</v>
      </c>
      <c r="G151" s="41">
        <v>80</v>
      </c>
      <c r="H151" s="41"/>
      <c r="I151" s="40">
        <f>IF(B151="","",IF(I150="",MASTER!$C$7,I150)+N(H151)-N(G151))</f>
        <v>8813</v>
      </c>
      <c r="J151" s="39">
        <v>19000</v>
      </c>
      <c r="K151" s="22">
        <f t="shared" si="7"/>
        <v>1520000</v>
      </c>
      <c r="L151" s="38" t="str">
        <f t="shared" si="8"/>
        <v/>
      </c>
      <c r="M151" s="37"/>
    </row>
    <row r="152" spans="1:13" x14ac:dyDescent="0.35">
      <c r="A152" s="44" t="str">
        <f t="shared" si="6"/>
        <v>May 2026</v>
      </c>
      <c r="B152" s="43">
        <v>46173</v>
      </c>
      <c r="C152" s="42" t="s">
        <v>275</v>
      </c>
      <c r="D152" s="42" t="s">
        <v>194</v>
      </c>
      <c r="E152" s="42" t="s">
        <v>141</v>
      </c>
      <c r="F152" s="42" t="s">
        <v>166</v>
      </c>
      <c r="G152" s="41">
        <v>50</v>
      </c>
      <c r="H152" s="41"/>
      <c r="I152" s="40">
        <f>IF(B152="","",IF(I151="",MASTER!$C$7,I151)+N(H152)-N(G152))</f>
        <v>8763</v>
      </c>
      <c r="J152" s="39">
        <v>19000</v>
      </c>
      <c r="K152" s="22">
        <f t="shared" si="7"/>
        <v>950000</v>
      </c>
      <c r="L152" s="38" t="str">
        <f t="shared" si="8"/>
        <v/>
      </c>
      <c r="M152" s="37"/>
    </row>
    <row r="153" spans="1:13" x14ac:dyDescent="0.35">
      <c r="A153" s="44" t="str">
        <f t="shared" si="6"/>
        <v>May 2026</v>
      </c>
      <c r="B153" s="43">
        <v>46173</v>
      </c>
      <c r="C153" s="42" t="s">
        <v>99</v>
      </c>
      <c r="D153" s="42" t="s">
        <v>257</v>
      </c>
      <c r="E153" s="42" t="s">
        <v>141</v>
      </c>
      <c r="F153" s="42" t="s">
        <v>166</v>
      </c>
      <c r="G153" s="41">
        <v>100</v>
      </c>
      <c r="H153" s="41"/>
      <c r="I153" s="40">
        <f>IF(B153="","",IF(I152="",MASTER!$C$7,I152)+N(H153)-N(G153))</f>
        <v>8663</v>
      </c>
      <c r="J153" s="39">
        <v>19000</v>
      </c>
      <c r="K153" s="22">
        <f t="shared" si="7"/>
        <v>1900000</v>
      </c>
      <c r="L153" s="38" t="str">
        <f t="shared" si="8"/>
        <v/>
      </c>
      <c r="M153" s="37"/>
    </row>
    <row r="154" spans="1:13" x14ac:dyDescent="0.35">
      <c r="A154" s="44" t="str">
        <f t="shared" si="6"/>
        <v>May 2026</v>
      </c>
      <c r="B154" s="43">
        <v>46173</v>
      </c>
      <c r="C154" s="42" t="s">
        <v>265</v>
      </c>
      <c r="D154" s="42" t="s">
        <v>285</v>
      </c>
      <c r="E154" s="42" t="s">
        <v>54</v>
      </c>
      <c r="F154" s="42" t="s">
        <v>166</v>
      </c>
      <c r="G154" s="41">
        <v>100</v>
      </c>
      <c r="H154" s="41"/>
      <c r="I154" s="40">
        <f>IF(B154="","",IF(I153="",MASTER!$C$7,I153)+N(H154)-N(G154))</f>
        <v>8563</v>
      </c>
      <c r="J154" s="39">
        <v>19000</v>
      </c>
      <c r="K154" s="22">
        <f t="shared" si="7"/>
        <v>1900000</v>
      </c>
      <c r="L154" s="38" t="str">
        <f t="shared" si="8"/>
        <v/>
      </c>
      <c r="M154" s="37"/>
    </row>
    <row r="155" spans="1:13" x14ac:dyDescent="0.35">
      <c r="A155" s="44" t="str">
        <f t="shared" si="6"/>
        <v>May 2026</v>
      </c>
      <c r="B155" s="43">
        <v>46173</v>
      </c>
      <c r="C155" s="42" t="s">
        <v>263</v>
      </c>
      <c r="D155" s="42" t="s">
        <v>282</v>
      </c>
      <c r="E155" s="42" t="s">
        <v>54</v>
      </c>
      <c r="F155" s="42" t="s">
        <v>166</v>
      </c>
      <c r="G155" s="41">
        <v>100</v>
      </c>
      <c r="H155" s="41"/>
      <c r="I155" s="40">
        <f>IF(B155="","",IF(I154="",MASTER!$C$7,I154)+N(H155)-N(G155))</f>
        <v>8463</v>
      </c>
      <c r="J155" s="39">
        <v>19000</v>
      </c>
      <c r="K155" s="22">
        <f t="shared" si="7"/>
        <v>1900000</v>
      </c>
      <c r="L155" s="38" t="str">
        <f t="shared" si="8"/>
        <v/>
      </c>
      <c r="M155" s="37"/>
    </row>
    <row r="156" spans="1:13" x14ac:dyDescent="0.35">
      <c r="A156" s="44" t="str">
        <f t="shared" si="6"/>
        <v>May 2026</v>
      </c>
      <c r="B156" s="43">
        <v>46173</v>
      </c>
      <c r="C156" s="42" t="s">
        <v>234</v>
      </c>
      <c r="D156" s="42" t="s">
        <v>271</v>
      </c>
      <c r="E156" s="42" t="s">
        <v>54</v>
      </c>
      <c r="F156" s="42" t="s">
        <v>166</v>
      </c>
      <c r="G156" s="41">
        <v>100</v>
      </c>
      <c r="H156" s="41"/>
      <c r="I156" s="40">
        <f>IF(B156="","",IF(I155="",MASTER!$C$7,I155)+N(H156)-N(G156))</f>
        <v>8363</v>
      </c>
      <c r="J156" s="39">
        <v>19000</v>
      </c>
      <c r="K156" s="22">
        <f t="shared" si="7"/>
        <v>1900000</v>
      </c>
      <c r="L156" s="38" t="str">
        <f t="shared" si="8"/>
        <v/>
      </c>
      <c r="M156" s="37"/>
    </row>
    <row r="157" spans="1:13" x14ac:dyDescent="0.35">
      <c r="A157" s="44" t="str">
        <f t="shared" si="6"/>
        <v>May 2026</v>
      </c>
      <c r="B157" s="43">
        <v>46173</v>
      </c>
      <c r="C157" s="42" t="s">
        <v>197</v>
      </c>
      <c r="D157" s="42" t="s">
        <v>284</v>
      </c>
      <c r="E157" s="42" t="s">
        <v>54</v>
      </c>
      <c r="F157" s="42" t="s">
        <v>166</v>
      </c>
      <c r="G157" s="41">
        <v>100</v>
      </c>
      <c r="H157" s="41"/>
      <c r="I157" s="40">
        <f>IF(B157="","",IF(I156="",MASTER!$C$7,I156)+N(H157)-N(G157))</f>
        <v>8263</v>
      </c>
      <c r="J157" s="39">
        <v>19000</v>
      </c>
      <c r="K157" s="22">
        <f t="shared" si="7"/>
        <v>1900000</v>
      </c>
      <c r="L157" s="38" t="str">
        <f t="shared" si="8"/>
        <v/>
      </c>
      <c r="M157" s="37"/>
    </row>
    <row r="158" spans="1:13" x14ac:dyDescent="0.35">
      <c r="A158" s="44" t="str">
        <f t="shared" si="6"/>
        <v>May 2026</v>
      </c>
      <c r="B158" s="43">
        <v>46173</v>
      </c>
      <c r="C158" s="42" t="s">
        <v>159</v>
      </c>
      <c r="D158" s="42" t="s">
        <v>41</v>
      </c>
      <c r="E158" s="42" t="s">
        <v>158</v>
      </c>
      <c r="F158" s="42" t="s">
        <v>157</v>
      </c>
      <c r="G158" s="41">
        <v>150</v>
      </c>
      <c r="H158" s="41"/>
      <c r="I158" s="40">
        <f>IF(B158="","",IF(I157="",MASTER!$C$7,I157)+N(H158)-N(G158))</f>
        <v>8113</v>
      </c>
      <c r="J158" s="39">
        <v>19000</v>
      </c>
      <c r="K158" s="22">
        <f t="shared" si="7"/>
        <v>2850000</v>
      </c>
      <c r="L158" s="38" t="str">
        <f t="shared" si="8"/>
        <v/>
      </c>
      <c r="M158" s="37"/>
    </row>
    <row r="159" spans="1:13" x14ac:dyDescent="0.35">
      <c r="A159" s="44" t="str">
        <f t="shared" si="6"/>
        <v>May 2026</v>
      </c>
      <c r="B159" s="43">
        <v>46173</v>
      </c>
      <c r="C159" s="42" t="s">
        <v>172</v>
      </c>
      <c r="D159" s="42" t="s">
        <v>270</v>
      </c>
      <c r="E159" s="42" t="s">
        <v>54</v>
      </c>
      <c r="F159" s="42" t="s">
        <v>166</v>
      </c>
      <c r="G159" s="41">
        <v>300</v>
      </c>
      <c r="H159" s="41"/>
      <c r="I159" s="40">
        <f>IF(B159="","",IF(I158="",MASTER!$C$7,I158)+N(H159)-N(G159))</f>
        <v>7813</v>
      </c>
      <c r="J159" s="39">
        <v>19000</v>
      </c>
      <c r="K159" s="22">
        <f t="shared" si="7"/>
        <v>5700000</v>
      </c>
      <c r="L159" s="38" t="str">
        <f t="shared" si="8"/>
        <v/>
      </c>
      <c r="M159" s="37"/>
    </row>
    <row r="160" spans="1:13" x14ac:dyDescent="0.35">
      <c r="A160" s="44" t="str">
        <f t="shared" si="6"/>
        <v>May 2026</v>
      </c>
      <c r="B160" s="43">
        <v>46173</v>
      </c>
      <c r="C160" s="42" t="s">
        <v>286</v>
      </c>
      <c r="D160" s="42" t="s">
        <v>279</v>
      </c>
      <c r="E160" s="42" t="s">
        <v>54</v>
      </c>
      <c r="F160" s="42" t="s">
        <v>166</v>
      </c>
      <c r="G160" s="41">
        <v>150</v>
      </c>
      <c r="H160" s="41"/>
      <c r="I160" s="40">
        <f>IF(B160="","",IF(I159="",MASTER!$C$7,I159)+N(H160)-N(G160))</f>
        <v>7663</v>
      </c>
      <c r="J160" s="39">
        <v>19000</v>
      </c>
      <c r="K160" s="22">
        <f t="shared" si="7"/>
        <v>2850000</v>
      </c>
      <c r="L160" s="38" t="str">
        <f t="shared" si="8"/>
        <v/>
      </c>
      <c r="M160" s="37"/>
    </row>
    <row r="161" spans="1:13" x14ac:dyDescent="0.35">
      <c r="A161" s="44" t="str">
        <f t="shared" si="6"/>
        <v>May 2026</v>
      </c>
      <c r="B161" s="43">
        <v>46173</v>
      </c>
      <c r="C161" s="42" t="s">
        <v>174</v>
      </c>
      <c r="D161" s="42" t="s">
        <v>259</v>
      </c>
      <c r="E161" s="42" t="s">
        <v>54</v>
      </c>
      <c r="F161" s="42" t="s">
        <v>166</v>
      </c>
      <c r="G161" s="41">
        <v>200</v>
      </c>
      <c r="H161" s="41"/>
      <c r="I161" s="40">
        <f>IF(B161="","",IF(I160="",MASTER!$C$7,I160)+N(H161)-N(G161))</f>
        <v>7463</v>
      </c>
      <c r="J161" s="39">
        <v>19000</v>
      </c>
      <c r="K161" s="22">
        <f t="shared" si="7"/>
        <v>3800000</v>
      </c>
      <c r="L161" s="38" t="str">
        <f t="shared" si="8"/>
        <v/>
      </c>
      <c r="M161" s="37"/>
    </row>
    <row r="162" spans="1:13" x14ac:dyDescent="0.35">
      <c r="A162" s="44" t="str">
        <f t="shared" si="6"/>
        <v>May 2026</v>
      </c>
      <c r="B162" s="43">
        <v>46173</v>
      </c>
      <c r="C162" s="42" t="s">
        <v>170</v>
      </c>
      <c r="D162" s="42" t="s">
        <v>269</v>
      </c>
      <c r="E162" s="42" t="s">
        <v>54</v>
      </c>
      <c r="F162" s="42" t="s">
        <v>166</v>
      </c>
      <c r="G162" s="41">
        <v>150</v>
      </c>
      <c r="H162" s="41"/>
      <c r="I162" s="40">
        <f>IF(B162="","",IF(I161="",MASTER!$C$7,I161)+N(H162)-N(G162))</f>
        <v>7313</v>
      </c>
      <c r="J162" s="39">
        <v>19000</v>
      </c>
      <c r="K162" s="22">
        <f t="shared" si="7"/>
        <v>2850000</v>
      </c>
      <c r="L162" s="38" t="str">
        <f t="shared" si="8"/>
        <v/>
      </c>
      <c r="M162" s="37"/>
    </row>
    <row r="163" spans="1:13" x14ac:dyDescent="0.35">
      <c r="A163" s="44" t="str">
        <f t="shared" si="6"/>
        <v>May 2026</v>
      </c>
      <c r="B163" s="43">
        <v>46173</v>
      </c>
      <c r="C163" s="42" t="s">
        <v>297</v>
      </c>
      <c r="D163" s="42" t="s">
        <v>296</v>
      </c>
      <c r="E163" s="42" t="s">
        <v>54</v>
      </c>
      <c r="F163" s="42" t="s">
        <v>155</v>
      </c>
      <c r="G163" s="41">
        <v>110</v>
      </c>
      <c r="H163" s="41"/>
      <c r="I163" s="40">
        <f>IF(B163="","",IF(I162="",MASTER!$C$7,I162)+N(H163)-N(G163))</f>
        <v>7203</v>
      </c>
      <c r="J163" s="39">
        <v>19000</v>
      </c>
      <c r="K163" s="22">
        <f t="shared" si="7"/>
        <v>2090000</v>
      </c>
      <c r="L163" s="38" t="str">
        <f t="shared" si="8"/>
        <v/>
      </c>
      <c r="M163" s="37"/>
    </row>
    <row r="164" spans="1:13" x14ac:dyDescent="0.35">
      <c r="A164" s="44" t="str">
        <f t="shared" si="6"/>
        <v>May 2026</v>
      </c>
      <c r="B164" s="43">
        <v>46173</v>
      </c>
      <c r="C164" s="42" t="s">
        <v>51</v>
      </c>
      <c r="D164" s="42" t="s">
        <v>156</v>
      </c>
      <c r="E164" s="42" t="s">
        <v>54</v>
      </c>
      <c r="F164" s="42" t="s">
        <v>155</v>
      </c>
      <c r="G164" s="41">
        <v>200</v>
      </c>
      <c r="H164" s="41"/>
      <c r="I164" s="40">
        <f>IF(B164="","",IF(I163="",MASTER!$C$7,I163)+N(H164)-N(G164))</f>
        <v>7003</v>
      </c>
      <c r="J164" s="39">
        <v>19000</v>
      </c>
      <c r="K164" s="22">
        <f t="shared" si="7"/>
        <v>3800000</v>
      </c>
      <c r="L164" s="38" t="str">
        <f t="shared" si="8"/>
        <v/>
      </c>
      <c r="M164" s="37"/>
    </row>
    <row r="165" spans="1:13" x14ac:dyDescent="0.35">
      <c r="A165" s="44" t="str">
        <f t="shared" si="6"/>
        <v>May 2026</v>
      </c>
      <c r="B165" s="43">
        <v>46173</v>
      </c>
      <c r="C165" s="42" t="s">
        <v>192</v>
      </c>
      <c r="D165" s="42" t="s">
        <v>191</v>
      </c>
      <c r="E165" s="42" t="s">
        <v>141</v>
      </c>
      <c r="F165" s="42" t="s">
        <v>166</v>
      </c>
      <c r="G165" s="41">
        <v>100</v>
      </c>
      <c r="H165" s="41"/>
      <c r="I165" s="40">
        <f>IF(B165="","",IF(I164="",MASTER!$C$7,I164)+N(H165)-N(G165))</f>
        <v>6903</v>
      </c>
      <c r="J165" s="39">
        <v>19000</v>
      </c>
      <c r="K165" s="22">
        <f t="shared" si="7"/>
        <v>1900000</v>
      </c>
      <c r="L165" s="38" t="str">
        <f t="shared" si="8"/>
        <v/>
      </c>
      <c r="M165" s="37"/>
    </row>
    <row r="166" spans="1:13" x14ac:dyDescent="0.35">
      <c r="A166" s="44" t="str">
        <f t="shared" si="6"/>
        <v>May 2026</v>
      </c>
      <c r="B166" s="43">
        <v>46173</v>
      </c>
      <c r="C166" s="42" t="s">
        <v>235</v>
      </c>
      <c r="D166" s="42" t="s">
        <v>200</v>
      </c>
      <c r="E166" s="42" t="s">
        <v>54</v>
      </c>
      <c r="F166" s="42" t="s">
        <v>166</v>
      </c>
      <c r="G166" s="41">
        <v>200</v>
      </c>
      <c r="H166" s="41"/>
      <c r="I166" s="40">
        <f>IF(B166="","",IF(I165="",MASTER!$C$7,I165)+N(H166)-N(G166))</f>
        <v>6703</v>
      </c>
      <c r="J166" s="39">
        <v>19000</v>
      </c>
      <c r="K166" s="22">
        <f t="shared" si="7"/>
        <v>3800000</v>
      </c>
      <c r="L166" s="38" t="str">
        <f t="shared" si="8"/>
        <v/>
      </c>
      <c r="M166" s="37"/>
    </row>
    <row r="167" spans="1:13" x14ac:dyDescent="0.35">
      <c r="A167" s="44" t="str">
        <f t="shared" si="6"/>
        <v>May 2026</v>
      </c>
      <c r="B167" s="43">
        <v>46173</v>
      </c>
      <c r="C167" s="42" t="s">
        <v>197</v>
      </c>
      <c r="D167" s="42" t="s">
        <v>284</v>
      </c>
      <c r="E167" s="42" t="s">
        <v>54</v>
      </c>
      <c r="F167" s="42" t="s">
        <v>166</v>
      </c>
      <c r="G167" s="41">
        <v>150</v>
      </c>
      <c r="H167" s="41"/>
      <c r="I167" s="40">
        <f>IF(B167="","",IF(I166="",MASTER!$C$7,I166)+N(H167)-N(G167))</f>
        <v>6553</v>
      </c>
      <c r="J167" s="39">
        <v>19000</v>
      </c>
      <c r="K167" s="22">
        <f t="shared" si="7"/>
        <v>2850000</v>
      </c>
      <c r="L167" s="38" t="str">
        <f t="shared" si="8"/>
        <v/>
      </c>
      <c r="M167" s="37"/>
    </row>
    <row r="168" spans="1:13" x14ac:dyDescent="0.35">
      <c r="A168" s="44" t="str">
        <f t="shared" si="6"/>
        <v>May 2026</v>
      </c>
      <c r="B168" s="43">
        <v>46173</v>
      </c>
      <c r="C168" s="42" t="s">
        <v>172</v>
      </c>
      <c r="D168" s="42" t="s">
        <v>270</v>
      </c>
      <c r="E168" s="42" t="s">
        <v>54</v>
      </c>
      <c r="F168" s="42" t="s">
        <v>166</v>
      </c>
      <c r="G168" s="41">
        <v>150</v>
      </c>
      <c r="H168" s="41"/>
      <c r="I168" s="40">
        <f>IF(B168="","",IF(I167="",MASTER!$C$7,I167)+N(H168)-N(G168))</f>
        <v>6403</v>
      </c>
      <c r="J168" s="39">
        <v>19000</v>
      </c>
      <c r="K168" s="22">
        <f t="shared" si="7"/>
        <v>2850000</v>
      </c>
      <c r="L168" s="38" t="str">
        <f t="shared" si="8"/>
        <v/>
      </c>
      <c r="M168" s="37"/>
    </row>
    <row r="169" spans="1:13" x14ac:dyDescent="0.35">
      <c r="A169" s="44" t="str">
        <f t="shared" si="6"/>
        <v>May 2026</v>
      </c>
      <c r="B169" s="43">
        <v>46173</v>
      </c>
      <c r="C169" s="42" t="s">
        <v>170</v>
      </c>
      <c r="D169" s="42" t="s">
        <v>269</v>
      </c>
      <c r="E169" s="42" t="s">
        <v>54</v>
      </c>
      <c r="F169" s="42" t="s">
        <v>166</v>
      </c>
      <c r="G169" s="41">
        <v>150</v>
      </c>
      <c r="H169" s="41"/>
      <c r="I169" s="40">
        <f>IF(B169="","",IF(I168="",MASTER!$C$7,I168)+N(H169)-N(G169))</f>
        <v>6253</v>
      </c>
      <c r="J169" s="39">
        <v>19000</v>
      </c>
      <c r="K169" s="22">
        <f t="shared" si="7"/>
        <v>2850000</v>
      </c>
      <c r="L169" s="38" t="str">
        <f t="shared" si="8"/>
        <v/>
      </c>
      <c r="M169" s="37"/>
    </row>
    <row r="170" spans="1:13" x14ac:dyDescent="0.35">
      <c r="A170" s="44" t="str">
        <f t="shared" si="6"/>
        <v>May 2026</v>
      </c>
      <c r="B170" s="43">
        <v>46173</v>
      </c>
      <c r="C170" s="42" t="s">
        <v>295</v>
      </c>
      <c r="D170" s="42" t="s">
        <v>294</v>
      </c>
      <c r="E170" s="42" t="s">
        <v>141</v>
      </c>
      <c r="F170" s="42" t="s">
        <v>245</v>
      </c>
      <c r="G170" s="41">
        <v>100</v>
      </c>
      <c r="H170" s="41"/>
      <c r="I170" s="40">
        <f>IF(B170="","",IF(I169="",MASTER!$C$7,I169)+N(H170)-N(G170))</f>
        <v>6153</v>
      </c>
      <c r="J170" s="39">
        <v>19000</v>
      </c>
      <c r="K170" s="22">
        <f t="shared" si="7"/>
        <v>1900000</v>
      </c>
      <c r="L170" s="38" t="str">
        <f t="shared" si="8"/>
        <v/>
      </c>
      <c r="M170" s="37"/>
    </row>
    <row r="171" spans="1:13" x14ac:dyDescent="0.35">
      <c r="A171" s="44" t="str">
        <f t="shared" si="6"/>
        <v>June 2026</v>
      </c>
      <c r="B171" s="43">
        <v>46174</v>
      </c>
      <c r="C171" s="42" t="s">
        <v>202</v>
      </c>
      <c r="D171" s="42" t="s">
        <v>201</v>
      </c>
      <c r="E171" s="42" t="s">
        <v>141</v>
      </c>
      <c r="F171" s="42" t="s">
        <v>166</v>
      </c>
      <c r="G171" s="41">
        <v>80</v>
      </c>
      <c r="H171" s="41"/>
      <c r="I171" s="40">
        <f>IF(B171="","",IF(I170="",MASTER!$C$7,I170)+N(H171)-N(G171))</f>
        <v>6073</v>
      </c>
      <c r="J171" s="39">
        <v>19000</v>
      </c>
      <c r="K171" s="22">
        <f t="shared" si="7"/>
        <v>1520000</v>
      </c>
      <c r="L171" s="38" t="str">
        <f t="shared" si="8"/>
        <v/>
      </c>
      <c r="M171" s="37"/>
    </row>
    <row r="172" spans="1:13" x14ac:dyDescent="0.35">
      <c r="A172" s="44" t="str">
        <f t="shared" si="6"/>
        <v>June 2026</v>
      </c>
      <c r="B172" s="43">
        <v>46174</v>
      </c>
      <c r="C172" s="42" t="s">
        <v>159</v>
      </c>
      <c r="D172" s="42" t="s">
        <v>41</v>
      </c>
      <c r="E172" s="42" t="s">
        <v>158</v>
      </c>
      <c r="F172" s="42" t="s">
        <v>157</v>
      </c>
      <c r="G172" s="41">
        <v>70</v>
      </c>
      <c r="H172" s="41"/>
      <c r="I172" s="40">
        <f>IF(B172="","",IF(I171="",MASTER!$C$7,I171)+N(H172)-N(G172))</f>
        <v>6003</v>
      </c>
      <c r="J172" s="39">
        <v>19000</v>
      </c>
      <c r="K172" s="22">
        <f t="shared" si="7"/>
        <v>1330000</v>
      </c>
      <c r="L172" s="38" t="str">
        <f t="shared" si="8"/>
        <v/>
      </c>
      <c r="M172" s="37"/>
    </row>
    <row r="173" spans="1:13" x14ac:dyDescent="0.35">
      <c r="A173" s="44" t="str">
        <f t="shared" si="6"/>
        <v>June 2026</v>
      </c>
      <c r="B173" s="43">
        <v>46174</v>
      </c>
      <c r="C173" s="42" t="s">
        <v>199</v>
      </c>
      <c r="D173" s="42" t="s">
        <v>198</v>
      </c>
      <c r="E173" s="42" t="s">
        <v>54</v>
      </c>
      <c r="F173" s="42" t="s">
        <v>166</v>
      </c>
      <c r="G173" s="41">
        <v>200</v>
      </c>
      <c r="H173" s="41"/>
      <c r="I173" s="40">
        <f>IF(B173="","",IF(I172="",MASTER!$C$7,I172)+N(H173)-N(G173))</f>
        <v>5803</v>
      </c>
      <c r="J173" s="39">
        <v>19000</v>
      </c>
      <c r="K173" s="22">
        <f t="shared" si="7"/>
        <v>3800000</v>
      </c>
      <c r="L173" s="38" t="str">
        <f t="shared" si="8"/>
        <v/>
      </c>
      <c r="M173" s="37"/>
    </row>
    <row r="174" spans="1:13" x14ac:dyDescent="0.35">
      <c r="A174" s="44" t="str">
        <f t="shared" si="6"/>
        <v>June 2026</v>
      </c>
      <c r="B174" s="43">
        <v>46174</v>
      </c>
      <c r="C174" s="42" t="s">
        <v>293</v>
      </c>
      <c r="D174" s="42" t="s">
        <v>200</v>
      </c>
      <c r="E174" s="42" t="s">
        <v>54</v>
      </c>
      <c r="F174" s="42" t="s">
        <v>166</v>
      </c>
      <c r="G174" s="41">
        <v>200</v>
      </c>
      <c r="H174" s="41"/>
      <c r="I174" s="40">
        <f>IF(B174="","",IF(I173="",MASTER!$C$7,I173)+N(H174)-N(G174))</f>
        <v>5603</v>
      </c>
      <c r="J174" s="39">
        <v>19000</v>
      </c>
      <c r="K174" s="22">
        <f t="shared" si="7"/>
        <v>3800000</v>
      </c>
      <c r="L174" s="38" t="str">
        <f t="shared" si="8"/>
        <v/>
      </c>
      <c r="M174" s="37"/>
    </row>
    <row r="175" spans="1:13" x14ac:dyDescent="0.35">
      <c r="A175" s="44" t="str">
        <f t="shared" si="6"/>
        <v>June 2026</v>
      </c>
      <c r="B175" s="43">
        <v>46174</v>
      </c>
      <c r="C175" s="42" t="s">
        <v>263</v>
      </c>
      <c r="D175" s="42" t="s">
        <v>282</v>
      </c>
      <c r="E175" s="42" t="s">
        <v>54</v>
      </c>
      <c r="F175" s="42" t="s">
        <v>166</v>
      </c>
      <c r="G175" s="41">
        <v>200</v>
      </c>
      <c r="H175" s="41"/>
      <c r="I175" s="40">
        <f>IF(B175="","",IF(I174="",MASTER!$C$7,I174)+N(H175)-N(G175))</f>
        <v>5403</v>
      </c>
      <c r="J175" s="39">
        <v>19000</v>
      </c>
      <c r="K175" s="22">
        <f t="shared" si="7"/>
        <v>3800000</v>
      </c>
      <c r="L175" s="38" t="str">
        <f t="shared" si="8"/>
        <v/>
      </c>
      <c r="M175" s="37"/>
    </row>
    <row r="176" spans="1:13" x14ac:dyDescent="0.35">
      <c r="A176" s="44" t="str">
        <f t="shared" si="6"/>
        <v>June 2026</v>
      </c>
      <c r="B176" s="43">
        <v>46174</v>
      </c>
      <c r="C176" s="42" t="s">
        <v>265</v>
      </c>
      <c r="D176" s="42" t="s">
        <v>285</v>
      </c>
      <c r="E176" s="42" t="s">
        <v>54</v>
      </c>
      <c r="F176" s="42" t="s">
        <v>166</v>
      </c>
      <c r="G176" s="41">
        <v>200</v>
      </c>
      <c r="H176" s="41"/>
      <c r="I176" s="40">
        <f>IF(B176="","",IF(I175="",MASTER!$C$7,I175)+N(H176)-N(G176))</f>
        <v>5203</v>
      </c>
      <c r="J176" s="39">
        <v>19000</v>
      </c>
      <c r="K176" s="22">
        <f t="shared" si="7"/>
        <v>3800000</v>
      </c>
      <c r="L176" s="38" t="str">
        <f t="shared" si="8"/>
        <v/>
      </c>
      <c r="M176" s="37"/>
    </row>
    <row r="177" spans="1:13" x14ac:dyDescent="0.35">
      <c r="A177" s="44" t="str">
        <f t="shared" si="6"/>
        <v>June 2026</v>
      </c>
      <c r="B177" s="43">
        <v>46174</v>
      </c>
      <c r="C177" s="42" t="s">
        <v>234</v>
      </c>
      <c r="D177" s="42" t="s">
        <v>271</v>
      </c>
      <c r="E177" s="42" t="s">
        <v>54</v>
      </c>
      <c r="F177" s="42" t="s">
        <v>166</v>
      </c>
      <c r="G177" s="41">
        <v>200</v>
      </c>
      <c r="H177" s="41"/>
      <c r="I177" s="40">
        <f>IF(B177="","",IF(I176="",MASTER!$C$7,I176)+N(H177)-N(G177))</f>
        <v>5003</v>
      </c>
      <c r="J177" s="39">
        <v>19000</v>
      </c>
      <c r="K177" s="22">
        <f t="shared" si="7"/>
        <v>3800000</v>
      </c>
      <c r="L177" s="38" t="str">
        <f t="shared" si="8"/>
        <v/>
      </c>
      <c r="M177" s="37"/>
    </row>
    <row r="178" spans="1:13" x14ac:dyDescent="0.35">
      <c r="A178" s="44" t="str">
        <f t="shared" si="6"/>
        <v>June 2026</v>
      </c>
      <c r="B178" s="43">
        <v>46174</v>
      </c>
      <c r="C178" s="42" t="s">
        <v>292</v>
      </c>
      <c r="D178" s="42" t="s">
        <v>291</v>
      </c>
      <c r="E178" s="42" t="s">
        <v>54</v>
      </c>
      <c r="F178" s="42" t="s">
        <v>155</v>
      </c>
      <c r="G178" s="41">
        <v>200</v>
      </c>
      <c r="H178" s="41"/>
      <c r="I178" s="40">
        <f>IF(B178="","",IF(I177="",MASTER!$C$7,I177)+N(H178)-N(G178))</f>
        <v>4803</v>
      </c>
      <c r="J178" s="39">
        <v>19000</v>
      </c>
      <c r="K178" s="22">
        <f t="shared" si="7"/>
        <v>3800000</v>
      </c>
      <c r="L178" s="38" t="str">
        <f t="shared" si="8"/>
        <v/>
      </c>
      <c r="M178" s="37"/>
    </row>
    <row r="179" spans="1:13" x14ac:dyDescent="0.35">
      <c r="A179" s="44" t="str">
        <f t="shared" si="6"/>
        <v>June 2026</v>
      </c>
      <c r="B179" s="43">
        <v>46174</v>
      </c>
      <c r="C179" s="42" t="s">
        <v>51</v>
      </c>
      <c r="D179" s="42" t="s">
        <v>156</v>
      </c>
      <c r="E179" s="42" t="s">
        <v>54</v>
      </c>
      <c r="F179" s="42" t="s">
        <v>155</v>
      </c>
      <c r="G179" s="41">
        <v>200</v>
      </c>
      <c r="H179" s="41"/>
      <c r="I179" s="40">
        <f>IF(B179="","",IF(I178="",MASTER!$C$7,I178)+N(H179)-N(G179))</f>
        <v>4603</v>
      </c>
      <c r="J179" s="39">
        <v>19000</v>
      </c>
      <c r="K179" s="22">
        <f t="shared" si="7"/>
        <v>3800000</v>
      </c>
      <c r="L179" s="38" t="str">
        <f t="shared" si="8"/>
        <v/>
      </c>
      <c r="M179" s="37"/>
    </row>
    <row r="180" spans="1:13" x14ac:dyDescent="0.35">
      <c r="A180" s="44" t="str">
        <f t="shared" si="6"/>
        <v>June 2026</v>
      </c>
      <c r="B180" s="43">
        <v>46174</v>
      </c>
      <c r="C180" s="42" t="s">
        <v>197</v>
      </c>
      <c r="D180" s="42" t="s">
        <v>284</v>
      </c>
      <c r="E180" s="42" t="s">
        <v>54</v>
      </c>
      <c r="F180" s="42" t="s">
        <v>166</v>
      </c>
      <c r="G180" s="41">
        <v>200</v>
      </c>
      <c r="H180" s="41"/>
      <c r="I180" s="40">
        <f>IF(B180="","",IF(I179="",MASTER!$C$7,I179)+N(H180)-N(G180))</f>
        <v>4403</v>
      </c>
      <c r="J180" s="39">
        <v>19000</v>
      </c>
      <c r="K180" s="22">
        <f t="shared" si="7"/>
        <v>3800000</v>
      </c>
      <c r="L180" s="38" t="str">
        <f t="shared" si="8"/>
        <v/>
      </c>
      <c r="M180" s="37"/>
    </row>
    <row r="181" spans="1:13" x14ac:dyDescent="0.35">
      <c r="A181" s="44" t="str">
        <f t="shared" si="6"/>
        <v>June 2026</v>
      </c>
      <c r="B181" s="43">
        <v>46174</v>
      </c>
      <c r="C181" s="42" t="s">
        <v>258</v>
      </c>
      <c r="D181" s="42" t="s">
        <v>257</v>
      </c>
      <c r="E181" s="42" t="s">
        <v>141</v>
      </c>
      <c r="F181" s="42" t="s">
        <v>166</v>
      </c>
      <c r="G181" s="41">
        <v>80</v>
      </c>
      <c r="H181" s="41"/>
      <c r="I181" s="40">
        <f>IF(B181="","",IF(I180="",MASTER!$C$7,I180)+N(H181)-N(G181))</f>
        <v>4323</v>
      </c>
      <c r="J181" s="39">
        <v>19000</v>
      </c>
      <c r="K181" s="22">
        <f t="shared" si="7"/>
        <v>1520000</v>
      </c>
      <c r="L181" s="38" t="str">
        <f t="shared" si="8"/>
        <v/>
      </c>
      <c r="M181" s="37"/>
    </row>
    <row r="182" spans="1:13" x14ac:dyDescent="0.35">
      <c r="A182" s="44" t="str">
        <f t="shared" si="6"/>
        <v>June 2026</v>
      </c>
      <c r="B182" s="43">
        <v>46174</v>
      </c>
      <c r="C182" s="42" t="s">
        <v>286</v>
      </c>
      <c r="D182" s="42" t="s">
        <v>279</v>
      </c>
      <c r="E182" s="42" t="s">
        <v>54</v>
      </c>
      <c r="F182" s="42" t="s">
        <v>166</v>
      </c>
      <c r="G182" s="41">
        <v>200</v>
      </c>
      <c r="H182" s="41"/>
      <c r="I182" s="40">
        <f>IF(B182="","",IF(I181="",MASTER!$C$7,I181)+N(H182)-N(G182))</f>
        <v>4123</v>
      </c>
      <c r="J182" s="39">
        <v>19000</v>
      </c>
      <c r="K182" s="22">
        <f t="shared" si="7"/>
        <v>3800000</v>
      </c>
      <c r="L182" s="38" t="str">
        <f t="shared" si="8"/>
        <v/>
      </c>
      <c r="M182" s="37"/>
    </row>
    <row r="183" spans="1:13" x14ac:dyDescent="0.35">
      <c r="A183" s="44" t="str">
        <f t="shared" si="6"/>
        <v>June 2026</v>
      </c>
      <c r="B183" s="43">
        <v>46174</v>
      </c>
      <c r="C183" s="42" t="s">
        <v>170</v>
      </c>
      <c r="D183" s="42" t="s">
        <v>269</v>
      </c>
      <c r="E183" s="42" t="s">
        <v>54</v>
      </c>
      <c r="F183" s="42" t="s">
        <v>166</v>
      </c>
      <c r="G183" s="41">
        <v>250</v>
      </c>
      <c r="H183" s="41"/>
      <c r="I183" s="40">
        <f>IF(B183="","",IF(I182="",MASTER!$C$7,I182)+N(H183)-N(G183))</f>
        <v>3873</v>
      </c>
      <c r="J183" s="39">
        <v>19000</v>
      </c>
      <c r="K183" s="22">
        <f t="shared" si="7"/>
        <v>4750000</v>
      </c>
      <c r="L183" s="38" t="str">
        <f t="shared" si="8"/>
        <v/>
      </c>
      <c r="M183" s="37"/>
    </row>
    <row r="184" spans="1:13" x14ac:dyDescent="0.35">
      <c r="A184" s="44" t="str">
        <f t="shared" si="6"/>
        <v>June 2026</v>
      </c>
      <c r="B184" s="43">
        <v>46174</v>
      </c>
      <c r="C184" s="42" t="s">
        <v>290</v>
      </c>
      <c r="D184" s="42" t="s">
        <v>173</v>
      </c>
      <c r="E184" s="42" t="s">
        <v>54</v>
      </c>
      <c r="F184" s="42" t="s">
        <v>166</v>
      </c>
      <c r="G184" s="41">
        <v>100</v>
      </c>
      <c r="H184" s="41"/>
      <c r="I184" s="40">
        <f>IF(B184="","",IF(I183="",MASTER!$C$7,I183)+N(H184)-N(G184))</f>
        <v>3773</v>
      </c>
      <c r="J184" s="39">
        <v>19000</v>
      </c>
      <c r="K184" s="22">
        <f t="shared" si="7"/>
        <v>1900000</v>
      </c>
      <c r="L184" s="38" t="str">
        <f t="shared" si="8"/>
        <v/>
      </c>
      <c r="M184" s="37"/>
    </row>
    <row r="185" spans="1:13" x14ac:dyDescent="0.35">
      <c r="A185" s="44" t="str">
        <f t="shared" si="6"/>
        <v>June 2026</v>
      </c>
      <c r="B185" s="43">
        <v>46174</v>
      </c>
      <c r="C185" s="42" t="s">
        <v>178</v>
      </c>
      <c r="D185" s="42" t="s">
        <v>177</v>
      </c>
      <c r="E185" s="42" t="s">
        <v>141</v>
      </c>
      <c r="F185" s="42" t="s">
        <v>155</v>
      </c>
      <c r="G185" s="41">
        <v>50</v>
      </c>
      <c r="H185" s="41"/>
      <c r="I185" s="40">
        <f>IF(B185="","",IF(I184="",MASTER!$C$7,I184)+N(H185)-N(G185))</f>
        <v>3723</v>
      </c>
      <c r="J185" s="39">
        <v>19000</v>
      </c>
      <c r="K185" s="22">
        <f t="shared" si="7"/>
        <v>950000</v>
      </c>
      <c r="L185" s="38" t="str">
        <f t="shared" si="8"/>
        <v/>
      </c>
      <c r="M185" s="37"/>
    </row>
    <row r="186" spans="1:13" x14ac:dyDescent="0.35">
      <c r="A186" s="44" t="str">
        <f t="shared" si="6"/>
        <v>June 2026</v>
      </c>
      <c r="B186" s="43">
        <v>46174</v>
      </c>
      <c r="C186" s="42" t="s">
        <v>184</v>
      </c>
      <c r="D186" s="42" t="s">
        <v>254</v>
      </c>
      <c r="E186" s="42" t="s">
        <v>141</v>
      </c>
      <c r="F186" s="42" t="s">
        <v>155</v>
      </c>
      <c r="G186" s="41">
        <v>50</v>
      </c>
      <c r="H186" s="41"/>
      <c r="I186" s="40">
        <f>IF(B186="","",IF(I185="",MASTER!$C$7,I185)+N(H186)-N(G186))</f>
        <v>3673</v>
      </c>
      <c r="J186" s="39">
        <v>19000</v>
      </c>
      <c r="K186" s="22">
        <f t="shared" si="7"/>
        <v>950000</v>
      </c>
      <c r="L186" s="38" t="str">
        <f t="shared" si="8"/>
        <v/>
      </c>
      <c r="M186" s="37"/>
    </row>
    <row r="187" spans="1:13" x14ac:dyDescent="0.35">
      <c r="A187" s="44" t="str">
        <f t="shared" si="6"/>
        <v>June 2026</v>
      </c>
      <c r="B187" s="43">
        <v>46175</v>
      </c>
      <c r="C187" s="42" t="s">
        <v>176</v>
      </c>
      <c r="D187" s="42" t="s">
        <v>175</v>
      </c>
      <c r="E187" s="42" t="s">
        <v>141</v>
      </c>
      <c r="F187" s="42" t="s">
        <v>155</v>
      </c>
      <c r="G187" s="41">
        <v>50</v>
      </c>
      <c r="H187" s="41"/>
      <c r="I187" s="40">
        <f>IF(B187="","",IF(I186="",MASTER!$C$7,I186)+N(H187)-N(G187))</f>
        <v>3623</v>
      </c>
      <c r="J187" s="39">
        <v>19000</v>
      </c>
      <c r="K187" s="22">
        <f t="shared" si="7"/>
        <v>950000</v>
      </c>
      <c r="L187" s="38" t="str">
        <f t="shared" si="8"/>
        <v/>
      </c>
      <c r="M187" s="37"/>
    </row>
    <row r="188" spans="1:13" x14ac:dyDescent="0.35">
      <c r="A188" s="44" t="str">
        <f t="shared" si="6"/>
        <v>June 2026</v>
      </c>
      <c r="B188" s="43">
        <v>46175</v>
      </c>
      <c r="C188" s="42" t="s">
        <v>110</v>
      </c>
      <c r="D188" s="42" t="s">
        <v>248</v>
      </c>
      <c r="E188" s="42" t="s">
        <v>141</v>
      </c>
      <c r="F188" s="42" t="s">
        <v>155</v>
      </c>
      <c r="G188" s="41">
        <v>50</v>
      </c>
      <c r="H188" s="41"/>
      <c r="I188" s="40">
        <f>IF(B188="","",IF(I187="",MASTER!$C$7,I187)+N(H188)-N(G188))</f>
        <v>3573</v>
      </c>
      <c r="J188" s="39">
        <v>19000</v>
      </c>
      <c r="K188" s="22">
        <f t="shared" si="7"/>
        <v>950000</v>
      </c>
      <c r="L188" s="38" t="str">
        <f t="shared" si="8"/>
        <v/>
      </c>
      <c r="M188" s="37"/>
    </row>
    <row r="189" spans="1:13" x14ac:dyDescent="0.35">
      <c r="A189" s="44" t="str">
        <f t="shared" si="6"/>
        <v>June 2026</v>
      </c>
      <c r="B189" s="43">
        <v>46175</v>
      </c>
      <c r="C189" s="42" t="s">
        <v>289</v>
      </c>
      <c r="D189" s="42" t="s">
        <v>183</v>
      </c>
      <c r="E189" s="42" t="s">
        <v>141</v>
      </c>
      <c r="F189" s="42" t="s">
        <v>155</v>
      </c>
      <c r="G189" s="41">
        <v>50</v>
      </c>
      <c r="H189" s="41"/>
      <c r="I189" s="40">
        <f>IF(B189="","",IF(I188="",MASTER!$C$7,I188)+N(H189)-N(G189))</f>
        <v>3523</v>
      </c>
      <c r="J189" s="39">
        <v>19000</v>
      </c>
      <c r="K189" s="22">
        <f t="shared" si="7"/>
        <v>950000</v>
      </c>
      <c r="L189" s="38" t="str">
        <f t="shared" si="8"/>
        <v/>
      </c>
      <c r="M189" s="37"/>
    </row>
    <row r="190" spans="1:13" x14ac:dyDescent="0.35">
      <c r="A190" s="44" t="str">
        <f t="shared" si="6"/>
        <v>June 2026</v>
      </c>
      <c r="B190" s="43">
        <v>46175</v>
      </c>
      <c r="C190" s="42" t="s">
        <v>225</v>
      </c>
      <c r="D190" s="42" t="s">
        <v>288</v>
      </c>
      <c r="E190" s="42" t="s">
        <v>141</v>
      </c>
      <c r="F190" s="42" t="s">
        <v>155</v>
      </c>
      <c r="G190" s="41">
        <v>50</v>
      </c>
      <c r="H190" s="41"/>
      <c r="I190" s="40">
        <f>IF(B190="","",IF(I189="",MASTER!$C$7,I189)+N(H190)-N(G190))</f>
        <v>3473</v>
      </c>
      <c r="J190" s="39">
        <v>19000</v>
      </c>
      <c r="K190" s="22">
        <f t="shared" si="7"/>
        <v>950000</v>
      </c>
      <c r="L190" s="38" t="str">
        <f t="shared" si="8"/>
        <v/>
      </c>
      <c r="M190" s="37"/>
    </row>
    <row r="191" spans="1:13" x14ac:dyDescent="0.35">
      <c r="A191" s="44" t="str">
        <f t="shared" si="6"/>
        <v>June 2026</v>
      </c>
      <c r="B191" s="43">
        <v>46175</v>
      </c>
      <c r="C191" s="42" t="s">
        <v>250</v>
      </c>
      <c r="D191" s="42" t="s">
        <v>287</v>
      </c>
      <c r="E191" s="42" t="s">
        <v>141</v>
      </c>
      <c r="F191" s="42" t="s">
        <v>155</v>
      </c>
      <c r="G191" s="41">
        <v>50</v>
      </c>
      <c r="H191" s="41"/>
      <c r="I191" s="40">
        <f>IF(B191="","",IF(I190="",MASTER!$C$7,I190)+N(H191)-N(G191))</f>
        <v>3423</v>
      </c>
      <c r="J191" s="39">
        <v>19000</v>
      </c>
      <c r="K191" s="22">
        <f t="shared" si="7"/>
        <v>950000</v>
      </c>
      <c r="L191" s="38" t="str">
        <f t="shared" si="8"/>
        <v/>
      </c>
      <c r="M191" s="37"/>
    </row>
    <row r="192" spans="1:13" x14ac:dyDescent="0.35">
      <c r="A192" s="44" t="str">
        <f t="shared" si="6"/>
        <v>June 2026</v>
      </c>
      <c r="B192" s="43">
        <v>46175</v>
      </c>
      <c r="C192" s="42" t="s">
        <v>187</v>
      </c>
      <c r="D192" s="42" t="s">
        <v>179</v>
      </c>
      <c r="E192" s="42" t="s">
        <v>141</v>
      </c>
      <c r="F192" s="42" t="s">
        <v>155</v>
      </c>
      <c r="G192" s="41">
        <v>50</v>
      </c>
      <c r="H192" s="41"/>
      <c r="I192" s="40">
        <f>IF(B192="","",IF(I191="",MASTER!$C$7,I191)+N(H192)-N(G192))</f>
        <v>3373</v>
      </c>
      <c r="J192" s="39">
        <v>19000</v>
      </c>
      <c r="K192" s="22">
        <f t="shared" si="7"/>
        <v>950000</v>
      </c>
      <c r="L192" s="38" t="str">
        <f t="shared" si="8"/>
        <v/>
      </c>
      <c r="M192" s="37"/>
    </row>
    <row r="193" spans="1:13" x14ac:dyDescent="0.35">
      <c r="A193" s="44" t="str">
        <f t="shared" si="6"/>
        <v>June 2026</v>
      </c>
      <c r="B193" s="43">
        <v>46175</v>
      </c>
      <c r="C193" s="42" t="s">
        <v>174</v>
      </c>
      <c r="D193" s="42" t="s">
        <v>259</v>
      </c>
      <c r="E193" s="42" t="s">
        <v>54</v>
      </c>
      <c r="F193" s="42" t="s">
        <v>166</v>
      </c>
      <c r="G193" s="41">
        <v>100</v>
      </c>
      <c r="H193" s="41"/>
      <c r="I193" s="40">
        <f>IF(B193="","",IF(I192="",MASTER!$C$7,I192)+N(H193)-N(G193))</f>
        <v>3273</v>
      </c>
      <c r="J193" s="39">
        <v>19000</v>
      </c>
      <c r="K193" s="22">
        <f t="shared" si="7"/>
        <v>1900000</v>
      </c>
      <c r="L193" s="38" t="str">
        <f t="shared" si="8"/>
        <v/>
      </c>
      <c r="M193" s="37"/>
    </row>
    <row r="194" spans="1:13" x14ac:dyDescent="0.35">
      <c r="A194" s="44" t="str">
        <f t="shared" si="6"/>
        <v>June 2026</v>
      </c>
      <c r="B194" s="43">
        <v>46175</v>
      </c>
      <c r="C194" s="42" t="s">
        <v>51</v>
      </c>
      <c r="D194" s="42" t="s">
        <v>156</v>
      </c>
      <c r="E194" s="42" t="s">
        <v>54</v>
      </c>
      <c r="F194" s="42" t="s">
        <v>155</v>
      </c>
      <c r="G194" s="41">
        <v>200</v>
      </c>
      <c r="H194" s="41"/>
      <c r="I194" s="40">
        <f>IF(B194="","",IF(I193="",MASTER!$C$7,I193)+N(H194)-N(G194))</f>
        <v>3073</v>
      </c>
      <c r="J194" s="39">
        <v>19000</v>
      </c>
      <c r="K194" s="22">
        <f t="shared" si="7"/>
        <v>3800000</v>
      </c>
      <c r="L194" s="38" t="str">
        <f t="shared" si="8"/>
        <v/>
      </c>
      <c r="M194" s="37"/>
    </row>
    <row r="195" spans="1:13" x14ac:dyDescent="0.35">
      <c r="A195" s="44" t="str">
        <f t="shared" ref="A195:A258" si="9">IF(B195="","",TEXT(B195,"MMMM YYYY"))</f>
        <v>June 2026</v>
      </c>
      <c r="B195" s="43">
        <v>46175</v>
      </c>
      <c r="C195" s="42" t="s">
        <v>286</v>
      </c>
      <c r="D195" s="42" t="s">
        <v>279</v>
      </c>
      <c r="E195" s="42" t="s">
        <v>54</v>
      </c>
      <c r="F195" s="42" t="s">
        <v>166</v>
      </c>
      <c r="G195" s="41">
        <v>200</v>
      </c>
      <c r="H195" s="41"/>
      <c r="I195" s="40">
        <f>IF(B195="","",IF(I194="",MASTER!$C$7,I194)+N(H195)-N(G195))</f>
        <v>2873</v>
      </c>
      <c r="J195" s="39">
        <v>19000</v>
      </c>
      <c r="K195" s="22">
        <f t="shared" ref="K195:K258" si="10">IF(OR(B195="",J195=""),"",N(G195)*J195)</f>
        <v>3800000</v>
      </c>
      <c r="L195" s="38" t="str">
        <f t="shared" ref="L195:L258" si="11">IF(OR(B195="",H195="",J195=""),"",N(H195)*J195)</f>
        <v/>
      </c>
      <c r="M195" s="37"/>
    </row>
    <row r="196" spans="1:13" x14ac:dyDescent="0.35">
      <c r="A196" s="44" t="str">
        <f t="shared" si="9"/>
        <v>June 2026</v>
      </c>
      <c r="B196" s="43">
        <v>46175</v>
      </c>
      <c r="C196" s="42" t="s">
        <v>172</v>
      </c>
      <c r="D196" s="42" t="s">
        <v>270</v>
      </c>
      <c r="E196" s="42" t="s">
        <v>54</v>
      </c>
      <c r="F196" s="42" t="s">
        <v>166</v>
      </c>
      <c r="G196" s="41">
        <v>200</v>
      </c>
      <c r="H196" s="41"/>
      <c r="I196" s="40">
        <f>IF(B196="","",IF(I195="",MASTER!$C$7,I195)+N(H196)-N(G196))</f>
        <v>2673</v>
      </c>
      <c r="J196" s="39">
        <v>19000</v>
      </c>
      <c r="K196" s="22">
        <f t="shared" si="10"/>
        <v>3800000</v>
      </c>
      <c r="L196" s="38" t="str">
        <f t="shared" si="11"/>
        <v/>
      </c>
      <c r="M196" s="37"/>
    </row>
    <row r="197" spans="1:13" x14ac:dyDescent="0.35">
      <c r="A197" s="44" t="str">
        <f t="shared" si="9"/>
        <v>June 2026</v>
      </c>
      <c r="B197" s="43">
        <v>46175</v>
      </c>
      <c r="C197" s="42" t="s">
        <v>159</v>
      </c>
      <c r="D197" s="42" t="s">
        <v>41</v>
      </c>
      <c r="E197" s="42" t="s">
        <v>158</v>
      </c>
      <c r="F197" s="42" t="s">
        <v>157</v>
      </c>
      <c r="G197" s="41">
        <v>100</v>
      </c>
      <c r="H197" s="41"/>
      <c r="I197" s="40">
        <f>IF(B197="","",IF(I196="",MASTER!$C$7,I196)+N(H197)-N(G197))</f>
        <v>2573</v>
      </c>
      <c r="J197" s="39">
        <v>19000</v>
      </c>
      <c r="K197" s="22">
        <f t="shared" si="10"/>
        <v>1900000</v>
      </c>
      <c r="L197" s="38" t="str">
        <f t="shared" si="11"/>
        <v/>
      </c>
      <c r="M197" s="37"/>
    </row>
    <row r="198" spans="1:13" x14ac:dyDescent="0.35">
      <c r="A198" s="44" t="str">
        <f t="shared" si="9"/>
        <v>June 2026</v>
      </c>
      <c r="B198" s="43">
        <v>46175</v>
      </c>
      <c r="C198" s="42" t="s">
        <v>256</v>
      </c>
      <c r="D198" s="42" t="s">
        <v>173</v>
      </c>
      <c r="E198" s="42" t="s">
        <v>54</v>
      </c>
      <c r="F198" s="42" t="s">
        <v>166</v>
      </c>
      <c r="G198" s="41">
        <v>170</v>
      </c>
      <c r="H198" s="41"/>
      <c r="I198" s="40">
        <f>IF(B198="","",IF(I197="",MASTER!$C$7,I197)+N(H198)-N(G198))</f>
        <v>2403</v>
      </c>
      <c r="J198" s="39">
        <v>19000</v>
      </c>
      <c r="K198" s="22">
        <f t="shared" si="10"/>
        <v>3230000</v>
      </c>
      <c r="L198" s="38" t="str">
        <f t="shared" si="11"/>
        <v/>
      </c>
      <c r="M198" s="37"/>
    </row>
    <row r="199" spans="1:13" x14ac:dyDescent="0.35">
      <c r="A199" s="44" t="str">
        <f t="shared" si="9"/>
        <v>June 2026</v>
      </c>
      <c r="B199" s="43">
        <v>46175</v>
      </c>
      <c r="C199" s="42" t="s">
        <v>170</v>
      </c>
      <c r="D199" s="42" t="s">
        <v>269</v>
      </c>
      <c r="E199" s="42" t="s">
        <v>54</v>
      </c>
      <c r="F199" s="42" t="s">
        <v>166</v>
      </c>
      <c r="G199" s="41">
        <v>100</v>
      </c>
      <c r="H199" s="41"/>
      <c r="I199" s="40">
        <f>IF(B199="","",IF(I198="",MASTER!$C$7,I198)+N(H199)-N(G199))</f>
        <v>2303</v>
      </c>
      <c r="J199" s="39">
        <v>19000</v>
      </c>
      <c r="K199" s="22">
        <f t="shared" si="10"/>
        <v>1900000</v>
      </c>
      <c r="L199" s="38" t="str">
        <f t="shared" si="11"/>
        <v/>
      </c>
      <c r="M199" s="37"/>
    </row>
    <row r="200" spans="1:13" x14ac:dyDescent="0.35">
      <c r="A200" s="44" t="str">
        <f t="shared" si="9"/>
        <v>June 2026</v>
      </c>
      <c r="B200" s="43">
        <v>46176</v>
      </c>
      <c r="C200" s="42" t="s">
        <v>202</v>
      </c>
      <c r="D200" s="42" t="s">
        <v>201</v>
      </c>
      <c r="E200" s="42" t="s">
        <v>141</v>
      </c>
      <c r="F200" s="42" t="s">
        <v>166</v>
      </c>
      <c r="G200" s="41">
        <v>80</v>
      </c>
      <c r="H200" s="41">
        <v>10000</v>
      </c>
      <c r="I200" s="40">
        <f>IF(B200="","",IF(I199="",MASTER!$C$7,I199)+N(H200)-N(G200))</f>
        <v>12223</v>
      </c>
      <c r="J200" s="39">
        <v>19000</v>
      </c>
      <c r="K200" s="22">
        <f t="shared" si="10"/>
        <v>1520000</v>
      </c>
      <c r="L200" s="38">
        <f t="shared" si="11"/>
        <v>190000000</v>
      </c>
      <c r="M200" s="37"/>
    </row>
    <row r="201" spans="1:13" x14ac:dyDescent="0.35">
      <c r="A201" s="44" t="str">
        <f t="shared" si="9"/>
        <v>June 2026</v>
      </c>
      <c r="B201" s="43">
        <v>46176</v>
      </c>
      <c r="C201" s="42" t="s">
        <v>202</v>
      </c>
      <c r="D201" s="42" t="s">
        <v>41</v>
      </c>
      <c r="E201" s="42" t="s">
        <v>158</v>
      </c>
      <c r="F201" s="42" t="s">
        <v>157</v>
      </c>
      <c r="G201" s="41">
        <v>100</v>
      </c>
      <c r="H201" s="41"/>
      <c r="I201" s="40">
        <f>IF(B201="","",IF(I200="",MASTER!$C$7,I200)+N(H201)-N(G201))</f>
        <v>12123</v>
      </c>
      <c r="J201" s="39">
        <v>19000</v>
      </c>
      <c r="K201" s="22">
        <f t="shared" si="10"/>
        <v>1900000</v>
      </c>
      <c r="L201" s="38" t="str">
        <f t="shared" si="11"/>
        <v/>
      </c>
      <c r="M201" s="37"/>
    </row>
    <row r="202" spans="1:13" x14ac:dyDescent="0.35">
      <c r="A202" s="44" t="str">
        <f t="shared" si="9"/>
        <v>June 2026</v>
      </c>
      <c r="B202" s="43">
        <v>46176</v>
      </c>
      <c r="C202" s="42" t="s">
        <v>192</v>
      </c>
      <c r="D202" s="42" t="s">
        <v>191</v>
      </c>
      <c r="E202" s="42" t="s">
        <v>141</v>
      </c>
      <c r="F202" s="42" t="s">
        <v>166</v>
      </c>
      <c r="G202" s="41">
        <v>100</v>
      </c>
      <c r="H202" s="41"/>
      <c r="I202" s="40">
        <f>IF(B202="","",IF(I201="",MASTER!$C$7,I201)+N(H202)-N(G202))</f>
        <v>12023</v>
      </c>
      <c r="J202" s="39">
        <v>19000</v>
      </c>
      <c r="K202" s="22">
        <f t="shared" si="10"/>
        <v>1900000</v>
      </c>
      <c r="L202" s="38" t="str">
        <f t="shared" si="11"/>
        <v/>
      </c>
      <c r="M202" s="37"/>
    </row>
    <row r="203" spans="1:13" x14ac:dyDescent="0.35">
      <c r="A203" s="44" t="str">
        <f t="shared" si="9"/>
        <v>June 2026</v>
      </c>
      <c r="B203" s="43">
        <v>46176</v>
      </c>
      <c r="C203" s="42" t="s">
        <v>293</v>
      </c>
      <c r="D203" s="42" t="s">
        <v>200</v>
      </c>
      <c r="E203" s="42" t="s">
        <v>54</v>
      </c>
      <c r="F203" s="42" t="s">
        <v>166</v>
      </c>
      <c r="G203" s="41">
        <v>200</v>
      </c>
      <c r="H203" s="41"/>
      <c r="I203" s="40">
        <f>IF(B203="","",IF(I202="",MASTER!$C$7,I202)+N(H203)-N(G203))</f>
        <v>11823</v>
      </c>
      <c r="J203" s="39">
        <v>19000</v>
      </c>
      <c r="K203" s="22">
        <f t="shared" si="10"/>
        <v>3800000</v>
      </c>
      <c r="L203" s="38" t="str">
        <f t="shared" si="11"/>
        <v/>
      </c>
      <c r="M203" s="37"/>
    </row>
    <row r="204" spans="1:13" x14ac:dyDescent="0.35">
      <c r="A204" s="44" t="str">
        <f t="shared" si="9"/>
        <v>June 2026</v>
      </c>
      <c r="B204" s="43">
        <v>46176</v>
      </c>
      <c r="C204" s="42" t="s">
        <v>265</v>
      </c>
      <c r="D204" s="42" t="s">
        <v>285</v>
      </c>
      <c r="E204" s="42" t="s">
        <v>54</v>
      </c>
      <c r="F204" s="42" t="s">
        <v>166</v>
      </c>
      <c r="G204" s="41">
        <v>200</v>
      </c>
      <c r="H204" s="41"/>
      <c r="I204" s="40">
        <f>IF(B204="","",IF(I203="",MASTER!$C$7,I203)+N(H204)-N(G204))</f>
        <v>11623</v>
      </c>
      <c r="J204" s="39">
        <v>19000</v>
      </c>
      <c r="K204" s="22">
        <f t="shared" si="10"/>
        <v>3800000</v>
      </c>
      <c r="L204" s="38" t="str">
        <f t="shared" si="11"/>
        <v/>
      </c>
      <c r="M204" s="37"/>
    </row>
    <row r="205" spans="1:13" x14ac:dyDescent="0.35">
      <c r="A205" s="44" t="str">
        <f t="shared" si="9"/>
        <v>June 2026</v>
      </c>
      <c r="B205" s="43">
        <v>46176</v>
      </c>
      <c r="C205" s="42" t="s">
        <v>197</v>
      </c>
      <c r="D205" s="42" t="s">
        <v>284</v>
      </c>
      <c r="E205" s="42" t="s">
        <v>54</v>
      </c>
      <c r="F205" s="42" t="s">
        <v>166</v>
      </c>
      <c r="G205" s="41">
        <v>200</v>
      </c>
      <c r="H205" s="41"/>
      <c r="I205" s="40">
        <f>IF(B205="","",IF(I204="",MASTER!$C$7,I204)+N(H205)-N(G205))</f>
        <v>11423</v>
      </c>
      <c r="J205" s="39">
        <v>19000</v>
      </c>
      <c r="K205" s="22">
        <f t="shared" si="10"/>
        <v>3800000</v>
      </c>
      <c r="L205" s="38" t="str">
        <f t="shared" si="11"/>
        <v/>
      </c>
      <c r="M205" s="37"/>
    </row>
    <row r="206" spans="1:13" x14ac:dyDescent="0.35">
      <c r="A206" s="44" t="str">
        <f t="shared" si="9"/>
        <v>June 2026</v>
      </c>
      <c r="B206" s="43">
        <v>46176</v>
      </c>
      <c r="C206" s="42" t="s">
        <v>283</v>
      </c>
      <c r="D206" s="42" t="s">
        <v>198</v>
      </c>
      <c r="E206" s="42" t="s">
        <v>54</v>
      </c>
      <c r="F206" s="42" t="s">
        <v>166</v>
      </c>
      <c r="G206" s="41">
        <v>200</v>
      </c>
      <c r="H206" s="41"/>
      <c r="I206" s="40">
        <f>IF(B206="","",IF(I205="",MASTER!$C$7,I205)+N(H206)-N(G206))</f>
        <v>11223</v>
      </c>
      <c r="J206" s="39">
        <v>19000</v>
      </c>
      <c r="K206" s="22">
        <f t="shared" si="10"/>
        <v>3800000</v>
      </c>
      <c r="L206" s="38" t="str">
        <f t="shared" si="11"/>
        <v/>
      </c>
      <c r="M206" s="37"/>
    </row>
    <row r="207" spans="1:13" x14ac:dyDescent="0.35">
      <c r="A207" s="44" t="str">
        <f t="shared" si="9"/>
        <v>June 2026</v>
      </c>
      <c r="B207" s="43">
        <v>46176</v>
      </c>
      <c r="C207" s="42" t="s">
        <v>234</v>
      </c>
      <c r="D207" s="42" t="s">
        <v>282</v>
      </c>
      <c r="E207" s="42" t="s">
        <v>54</v>
      </c>
      <c r="F207" s="42" t="s">
        <v>166</v>
      </c>
      <c r="G207" s="41">
        <v>200</v>
      </c>
      <c r="H207" s="41"/>
      <c r="I207" s="40">
        <f>IF(B207="","",IF(I206="",MASTER!$C$7,I206)+N(H207)-N(G207))</f>
        <v>11023</v>
      </c>
      <c r="J207" s="39">
        <v>19000</v>
      </c>
      <c r="K207" s="22">
        <f t="shared" si="10"/>
        <v>3800000</v>
      </c>
      <c r="L207" s="38" t="str">
        <f t="shared" si="11"/>
        <v/>
      </c>
      <c r="M207" s="37"/>
    </row>
    <row r="208" spans="1:13" x14ac:dyDescent="0.35">
      <c r="A208" s="44" t="str">
        <f t="shared" si="9"/>
        <v>June 2026</v>
      </c>
      <c r="B208" s="43">
        <v>46176</v>
      </c>
      <c r="C208" s="42" t="s">
        <v>275</v>
      </c>
      <c r="D208" s="42" t="s">
        <v>194</v>
      </c>
      <c r="E208" s="42" t="s">
        <v>141</v>
      </c>
      <c r="F208" s="42" t="s">
        <v>166</v>
      </c>
      <c r="G208" s="41">
        <v>80</v>
      </c>
      <c r="H208" s="41"/>
      <c r="I208" s="40">
        <f>IF(B208="","",IF(I207="",MASTER!$C$7,I207)+N(H208)-N(G208))</f>
        <v>10943</v>
      </c>
      <c r="J208" s="39">
        <v>19000</v>
      </c>
      <c r="K208" s="22">
        <f t="shared" si="10"/>
        <v>1520000</v>
      </c>
      <c r="L208" s="38" t="str">
        <f t="shared" si="11"/>
        <v/>
      </c>
      <c r="M208" s="37"/>
    </row>
    <row r="209" spans="1:13" x14ac:dyDescent="0.35">
      <c r="A209" s="44" t="str">
        <f t="shared" si="9"/>
        <v>June 2026</v>
      </c>
      <c r="B209" s="43">
        <v>46176</v>
      </c>
      <c r="C209" s="42" t="s">
        <v>172</v>
      </c>
      <c r="D209" s="42" t="s">
        <v>270</v>
      </c>
      <c r="E209" s="42" t="s">
        <v>54</v>
      </c>
      <c r="F209" s="42" t="s">
        <v>166</v>
      </c>
      <c r="G209" s="41">
        <v>200</v>
      </c>
      <c r="H209" s="41"/>
      <c r="I209" s="40">
        <f>IF(B209="","",IF(I208="",MASTER!$C$7,I208)+N(H209)-N(G209))</f>
        <v>10743</v>
      </c>
      <c r="J209" s="39">
        <v>19000</v>
      </c>
      <c r="K209" s="22">
        <f t="shared" si="10"/>
        <v>3800000</v>
      </c>
      <c r="L209" s="38" t="str">
        <f t="shared" si="11"/>
        <v/>
      </c>
      <c r="M209" s="37"/>
    </row>
    <row r="210" spans="1:13" x14ac:dyDescent="0.35">
      <c r="A210" s="44" t="str">
        <f t="shared" si="9"/>
        <v>June 2026</v>
      </c>
      <c r="B210" s="43">
        <v>46176</v>
      </c>
      <c r="C210" s="42" t="s">
        <v>256</v>
      </c>
      <c r="D210" s="42" t="s">
        <v>173</v>
      </c>
      <c r="E210" s="42" t="s">
        <v>54</v>
      </c>
      <c r="F210" s="42" t="s">
        <v>166</v>
      </c>
      <c r="G210" s="41">
        <v>150</v>
      </c>
      <c r="H210" s="41"/>
      <c r="I210" s="40">
        <f>IF(B210="","",IF(I209="",MASTER!$C$7,I209)+N(H210)-N(G210))</f>
        <v>10593</v>
      </c>
      <c r="J210" s="39">
        <v>19000</v>
      </c>
      <c r="K210" s="22">
        <f t="shared" si="10"/>
        <v>2850000</v>
      </c>
      <c r="L210" s="38" t="str">
        <f t="shared" si="11"/>
        <v/>
      </c>
      <c r="M210" s="37"/>
    </row>
    <row r="211" spans="1:13" x14ac:dyDescent="0.35">
      <c r="A211" s="44" t="str">
        <f t="shared" si="9"/>
        <v>June 2026</v>
      </c>
      <c r="B211" s="43">
        <v>46176</v>
      </c>
      <c r="C211" s="42" t="s">
        <v>51</v>
      </c>
      <c r="D211" s="42" t="s">
        <v>156</v>
      </c>
      <c r="E211" s="42" t="s">
        <v>54</v>
      </c>
      <c r="F211" s="42" t="s">
        <v>155</v>
      </c>
      <c r="G211" s="41">
        <v>200</v>
      </c>
      <c r="H211" s="41"/>
      <c r="I211" s="40">
        <f>IF(B211="","",IF(I210="",MASTER!$C$7,I210)+N(H211)-N(G211))</f>
        <v>10393</v>
      </c>
      <c r="J211" s="39">
        <v>19000</v>
      </c>
      <c r="K211" s="22">
        <f t="shared" si="10"/>
        <v>3800000</v>
      </c>
      <c r="L211" s="38" t="str">
        <f t="shared" si="11"/>
        <v/>
      </c>
      <c r="M211" s="37"/>
    </row>
    <row r="212" spans="1:13" x14ac:dyDescent="0.35">
      <c r="A212" s="44" t="str">
        <f t="shared" si="9"/>
        <v>June 2026</v>
      </c>
      <c r="B212" s="43">
        <v>46176</v>
      </c>
      <c r="C212" s="42" t="s">
        <v>174</v>
      </c>
      <c r="D212" s="42" t="s">
        <v>259</v>
      </c>
      <c r="E212" s="42" t="s">
        <v>54</v>
      </c>
      <c r="F212" s="42" t="s">
        <v>166</v>
      </c>
      <c r="G212" s="41">
        <v>200</v>
      </c>
      <c r="H212" s="41"/>
      <c r="I212" s="40">
        <f>IF(B212="","",IF(I211="",MASTER!$C$7,I211)+N(H212)-N(G212))</f>
        <v>10193</v>
      </c>
      <c r="J212" s="39">
        <v>19000</v>
      </c>
      <c r="K212" s="22">
        <f t="shared" si="10"/>
        <v>3800000</v>
      </c>
      <c r="L212" s="38" t="str">
        <f t="shared" si="11"/>
        <v/>
      </c>
      <c r="M212" s="37"/>
    </row>
    <row r="213" spans="1:13" x14ac:dyDescent="0.35">
      <c r="A213" s="44" t="str">
        <f t="shared" si="9"/>
        <v>June 2026</v>
      </c>
      <c r="B213" s="43">
        <v>46176</v>
      </c>
      <c r="C213" s="42" t="s">
        <v>215</v>
      </c>
      <c r="D213" s="42" t="s">
        <v>281</v>
      </c>
      <c r="E213" s="42" t="s">
        <v>141</v>
      </c>
      <c r="F213" s="42" t="s">
        <v>155</v>
      </c>
      <c r="G213" s="41">
        <v>50</v>
      </c>
      <c r="H213" s="41"/>
      <c r="I213" s="40">
        <f>IF(B213="","",IF(I212="",MASTER!$C$7,I212)+N(H213)-N(G213))</f>
        <v>10143</v>
      </c>
      <c r="J213" s="39">
        <v>19000</v>
      </c>
      <c r="K213" s="22">
        <f t="shared" si="10"/>
        <v>950000</v>
      </c>
      <c r="L213" s="38" t="str">
        <f t="shared" si="11"/>
        <v/>
      </c>
      <c r="M213" s="37"/>
    </row>
    <row r="214" spans="1:13" x14ac:dyDescent="0.35">
      <c r="A214" s="44" t="str">
        <f t="shared" si="9"/>
        <v>June 2026</v>
      </c>
      <c r="B214" s="43">
        <v>46177</v>
      </c>
      <c r="C214" s="42" t="s">
        <v>258</v>
      </c>
      <c r="D214" s="42" t="s">
        <v>257</v>
      </c>
      <c r="E214" s="42" t="s">
        <v>141</v>
      </c>
      <c r="F214" s="42" t="s">
        <v>166</v>
      </c>
      <c r="G214" s="41">
        <v>80</v>
      </c>
      <c r="H214" s="41"/>
      <c r="I214" s="40">
        <f>IF(B214="","",IF(I213="",MASTER!$C$7,I213)+N(H214)-N(G214))</f>
        <v>10063</v>
      </c>
      <c r="J214" s="39">
        <v>19000</v>
      </c>
      <c r="K214" s="22">
        <f t="shared" si="10"/>
        <v>1520000</v>
      </c>
      <c r="L214" s="38" t="str">
        <f t="shared" si="11"/>
        <v/>
      </c>
      <c r="M214" s="37"/>
    </row>
    <row r="215" spans="1:13" x14ac:dyDescent="0.35">
      <c r="A215" s="44" t="str">
        <f t="shared" si="9"/>
        <v>June 2026</v>
      </c>
      <c r="B215" s="43">
        <v>46177</v>
      </c>
      <c r="C215" s="42" t="s">
        <v>280</v>
      </c>
      <c r="D215" s="42" t="s">
        <v>279</v>
      </c>
      <c r="E215" s="42" t="s">
        <v>54</v>
      </c>
      <c r="F215" s="42" t="s">
        <v>166</v>
      </c>
      <c r="G215" s="41">
        <v>150</v>
      </c>
      <c r="H215" s="41"/>
      <c r="I215" s="40">
        <f>IF(B215="","",IF(I214="",MASTER!$C$7,I214)+N(H215)-N(G215))</f>
        <v>9913</v>
      </c>
      <c r="J215" s="39">
        <v>19000</v>
      </c>
      <c r="K215" s="22">
        <f t="shared" si="10"/>
        <v>2850000</v>
      </c>
      <c r="L215" s="38" t="str">
        <f t="shared" si="11"/>
        <v/>
      </c>
      <c r="M215" s="37"/>
    </row>
    <row r="216" spans="1:13" x14ac:dyDescent="0.35">
      <c r="A216" s="44" t="str">
        <f t="shared" si="9"/>
        <v>June 2026</v>
      </c>
      <c r="B216" s="43">
        <v>46177</v>
      </c>
      <c r="C216" s="42" t="s">
        <v>170</v>
      </c>
      <c r="D216" s="42" t="s">
        <v>269</v>
      </c>
      <c r="E216" s="42" t="s">
        <v>54</v>
      </c>
      <c r="F216" s="42" t="s">
        <v>166</v>
      </c>
      <c r="G216" s="41">
        <v>250</v>
      </c>
      <c r="H216" s="41"/>
      <c r="I216" s="40">
        <f>IF(B216="","",IF(I215="",MASTER!$C$7,I215)+N(H216)-N(G216))</f>
        <v>9663</v>
      </c>
      <c r="J216" s="39">
        <v>19000</v>
      </c>
      <c r="K216" s="22">
        <f t="shared" si="10"/>
        <v>4750000</v>
      </c>
      <c r="L216" s="38" t="str">
        <f t="shared" si="11"/>
        <v/>
      </c>
      <c r="M216" s="37"/>
    </row>
    <row r="217" spans="1:13" x14ac:dyDescent="0.35">
      <c r="A217" s="44" t="str">
        <f t="shared" si="9"/>
        <v>June 2026</v>
      </c>
      <c r="B217" s="43">
        <v>46177</v>
      </c>
      <c r="C217" s="42" t="s">
        <v>278</v>
      </c>
      <c r="D217" s="42" t="s">
        <v>277</v>
      </c>
      <c r="E217" s="42" t="s">
        <v>276</v>
      </c>
      <c r="F217" s="42" t="s">
        <v>157</v>
      </c>
      <c r="G217" s="41">
        <v>80</v>
      </c>
      <c r="H217" s="41"/>
      <c r="I217" s="40">
        <f>IF(B217="","",IF(I216="",MASTER!$C$7,I216)+N(H217)-N(G217))</f>
        <v>9583</v>
      </c>
      <c r="J217" s="39">
        <v>19000</v>
      </c>
      <c r="K217" s="22">
        <f t="shared" si="10"/>
        <v>1520000</v>
      </c>
      <c r="L217" s="38" t="str">
        <f t="shared" si="11"/>
        <v/>
      </c>
      <c r="M217" s="37"/>
    </row>
    <row r="218" spans="1:13" x14ac:dyDescent="0.35">
      <c r="A218" s="44" t="str">
        <f t="shared" si="9"/>
        <v>June 2026</v>
      </c>
      <c r="B218" s="43">
        <v>46177</v>
      </c>
      <c r="C218" s="42" t="s">
        <v>159</v>
      </c>
      <c r="D218" s="42" t="s">
        <v>41</v>
      </c>
      <c r="E218" s="42" t="s">
        <v>158</v>
      </c>
      <c r="F218" s="42" t="s">
        <v>157</v>
      </c>
      <c r="G218" s="41">
        <v>100</v>
      </c>
      <c r="H218" s="41"/>
      <c r="I218" s="40">
        <f>IF(B218="","",IF(I217="",MASTER!$C$7,I217)+N(H218)-N(G218))</f>
        <v>9483</v>
      </c>
      <c r="J218" s="39">
        <v>19000</v>
      </c>
      <c r="K218" s="22">
        <f t="shared" si="10"/>
        <v>1900000</v>
      </c>
      <c r="L218" s="38" t="str">
        <f t="shared" si="11"/>
        <v/>
      </c>
      <c r="M218" s="37"/>
    </row>
    <row r="219" spans="1:13" x14ac:dyDescent="0.35">
      <c r="A219" s="44" t="str">
        <f t="shared" si="9"/>
        <v>June 2026</v>
      </c>
      <c r="B219" s="43">
        <v>46177</v>
      </c>
      <c r="C219" s="42" t="s">
        <v>172</v>
      </c>
      <c r="D219" s="42" t="s">
        <v>270</v>
      </c>
      <c r="E219" s="42" t="s">
        <v>54</v>
      </c>
      <c r="F219" s="42" t="s">
        <v>166</v>
      </c>
      <c r="G219" s="41">
        <v>200</v>
      </c>
      <c r="H219" s="41"/>
      <c r="I219" s="40">
        <f>IF(B219="","",IF(I218="",MASTER!$C$7,I218)+N(H219)-N(G219))</f>
        <v>9283</v>
      </c>
      <c r="J219" s="39">
        <v>19000</v>
      </c>
      <c r="K219" s="22">
        <f t="shared" si="10"/>
        <v>3800000</v>
      </c>
      <c r="L219" s="38" t="str">
        <f t="shared" si="11"/>
        <v/>
      </c>
      <c r="M219" s="37"/>
    </row>
    <row r="220" spans="1:13" x14ac:dyDescent="0.35">
      <c r="A220" s="44" t="str">
        <f t="shared" si="9"/>
        <v>June 2026</v>
      </c>
      <c r="B220" s="43">
        <v>46177</v>
      </c>
      <c r="C220" s="42" t="s">
        <v>256</v>
      </c>
      <c r="D220" s="42" t="s">
        <v>173</v>
      </c>
      <c r="E220" s="42" t="s">
        <v>54</v>
      </c>
      <c r="F220" s="42" t="s">
        <v>166</v>
      </c>
      <c r="G220" s="41">
        <v>150</v>
      </c>
      <c r="H220" s="41"/>
      <c r="I220" s="40">
        <f>IF(B220="","",IF(I219="",MASTER!$C$7,I219)+N(H220)-N(G220))</f>
        <v>9133</v>
      </c>
      <c r="J220" s="39">
        <v>19000</v>
      </c>
      <c r="K220" s="22">
        <f t="shared" si="10"/>
        <v>2850000</v>
      </c>
      <c r="L220" s="38" t="str">
        <f t="shared" si="11"/>
        <v/>
      </c>
      <c r="M220" s="37"/>
    </row>
    <row r="221" spans="1:13" x14ac:dyDescent="0.35">
      <c r="A221" s="44" t="str">
        <f t="shared" si="9"/>
        <v>June 2026</v>
      </c>
      <c r="B221" s="43">
        <v>46177</v>
      </c>
      <c r="C221" s="42" t="s">
        <v>235</v>
      </c>
      <c r="D221" s="42" t="s">
        <v>200</v>
      </c>
      <c r="E221" s="42" t="s">
        <v>54</v>
      </c>
      <c r="F221" s="42" t="s">
        <v>166</v>
      </c>
      <c r="G221" s="41">
        <v>200</v>
      </c>
      <c r="H221" s="41"/>
      <c r="I221" s="40">
        <f>IF(B221="","",IF(I220="",MASTER!$C$7,I220)+N(H221)-N(G221))</f>
        <v>8933</v>
      </c>
      <c r="J221" s="39">
        <v>19000</v>
      </c>
      <c r="K221" s="22">
        <f t="shared" si="10"/>
        <v>3800000</v>
      </c>
      <c r="L221" s="38" t="str">
        <f t="shared" si="11"/>
        <v/>
      </c>
      <c r="M221" s="37"/>
    </row>
    <row r="222" spans="1:13" x14ac:dyDescent="0.35">
      <c r="A222" s="44" t="str">
        <f t="shared" si="9"/>
        <v>June 2026</v>
      </c>
      <c r="B222" s="43">
        <v>46177</v>
      </c>
      <c r="C222" s="42" t="s">
        <v>199</v>
      </c>
      <c r="D222" s="42" t="s">
        <v>198</v>
      </c>
      <c r="E222" s="42" t="s">
        <v>54</v>
      </c>
      <c r="F222" s="42" t="s">
        <v>166</v>
      </c>
      <c r="G222" s="41">
        <v>200</v>
      </c>
      <c r="H222" s="41"/>
      <c r="I222" s="40">
        <f>IF(B222="","",IF(I221="",MASTER!$C$7,I221)+N(H222)-N(G222))</f>
        <v>8733</v>
      </c>
      <c r="J222" s="39">
        <v>19000</v>
      </c>
      <c r="K222" s="22">
        <f t="shared" si="10"/>
        <v>3800000</v>
      </c>
      <c r="L222" s="38" t="str">
        <f t="shared" si="11"/>
        <v/>
      </c>
      <c r="M222" s="37"/>
    </row>
    <row r="223" spans="1:13" x14ac:dyDescent="0.35">
      <c r="A223" s="44" t="str">
        <f t="shared" si="9"/>
        <v>June 2026</v>
      </c>
      <c r="B223" s="43">
        <v>46178</v>
      </c>
      <c r="C223" s="42" t="s">
        <v>170</v>
      </c>
      <c r="D223" s="42" t="s">
        <v>269</v>
      </c>
      <c r="E223" s="42" t="s">
        <v>54</v>
      </c>
      <c r="F223" s="42" t="s">
        <v>166</v>
      </c>
      <c r="G223" s="41">
        <v>150</v>
      </c>
      <c r="H223" s="41"/>
      <c r="I223" s="40">
        <f>IF(B223="","",IF(I222="",MASTER!$C$7,I222)+N(H223)-N(G223))</f>
        <v>8583</v>
      </c>
      <c r="J223" s="39">
        <v>19000</v>
      </c>
      <c r="K223" s="22">
        <f t="shared" si="10"/>
        <v>2850000</v>
      </c>
      <c r="L223" s="38" t="str">
        <f t="shared" si="11"/>
        <v/>
      </c>
      <c r="M223" s="37"/>
    </row>
    <row r="224" spans="1:13" x14ac:dyDescent="0.35">
      <c r="A224" s="44" t="str">
        <f t="shared" si="9"/>
        <v>June 2026</v>
      </c>
      <c r="B224" s="43">
        <v>46178</v>
      </c>
      <c r="C224" s="42" t="s">
        <v>195</v>
      </c>
      <c r="D224" s="42" t="s">
        <v>244</v>
      </c>
      <c r="E224" s="42" t="s">
        <v>141</v>
      </c>
      <c r="F224" s="42" t="s">
        <v>166</v>
      </c>
      <c r="G224" s="41">
        <v>80</v>
      </c>
      <c r="H224" s="41"/>
      <c r="I224" s="40">
        <f>IF(B224="","",IF(I223="",MASTER!$C$7,I223)+N(H224)-N(G224))</f>
        <v>8503</v>
      </c>
      <c r="J224" s="39">
        <v>19000</v>
      </c>
      <c r="K224" s="22">
        <f t="shared" si="10"/>
        <v>1520000</v>
      </c>
      <c r="L224" s="38" t="str">
        <f t="shared" si="11"/>
        <v/>
      </c>
      <c r="M224" s="37"/>
    </row>
    <row r="225" spans="1:13" x14ac:dyDescent="0.35">
      <c r="A225" s="44" t="str">
        <f t="shared" si="9"/>
        <v>June 2026</v>
      </c>
      <c r="B225" s="43">
        <v>46178</v>
      </c>
      <c r="C225" s="42" t="s">
        <v>174</v>
      </c>
      <c r="D225" s="42" t="s">
        <v>259</v>
      </c>
      <c r="E225" s="42" t="s">
        <v>54</v>
      </c>
      <c r="F225" s="42" t="s">
        <v>166</v>
      </c>
      <c r="G225" s="41">
        <v>200</v>
      </c>
      <c r="H225" s="41"/>
      <c r="I225" s="40">
        <f>IF(B225="","",IF(I224="",MASTER!$C$7,I224)+N(H225)-N(G225))</f>
        <v>8303</v>
      </c>
      <c r="J225" s="39">
        <v>19000</v>
      </c>
      <c r="K225" s="22">
        <f t="shared" si="10"/>
        <v>3800000</v>
      </c>
      <c r="L225" s="38" t="str">
        <f t="shared" si="11"/>
        <v/>
      </c>
      <c r="M225" s="37"/>
    </row>
    <row r="226" spans="1:13" x14ac:dyDescent="0.35">
      <c r="A226" s="44" t="str">
        <f t="shared" si="9"/>
        <v>June 2026</v>
      </c>
      <c r="B226" s="43">
        <v>46178</v>
      </c>
      <c r="C226" s="42" t="s">
        <v>275</v>
      </c>
      <c r="D226" s="42" t="s">
        <v>194</v>
      </c>
      <c r="E226" s="42" t="s">
        <v>141</v>
      </c>
      <c r="F226" s="42" t="s">
        <v>166</v>
      </c>
      <c r="G226" s="41">
        <v>50</v>
      </c>
      <c r="H226" s="41"/>
      <c r="I226" s="40">
        <f>IF(B226="","",IF(I225="",MASTER!$C$7,I225)+N(H226)-N(G226))</f>
        <v>8253</v>
      </c>
      <c r="J226" s="39">
        <v>19000</v>
      </c>
      <c r="K226" s="22">
        <f t="shared" si="10"/>
        <v>950000</v>
      </c>
      <c r="L226" s="38" t="str">
        <f t="shared" si="11"/>
        <v/>
      </c>
      <c r="M226" s="37"/>
    </row>
    <row r="227" spans="1:13" x14ac:dyDescent="0.35">
      <c r="A227" s="44" t="str">
        <f t="shared" si="9"/>
        <v>June 2026</v>
      </c>
      <c r="B227" s="43">
        <v>46178</v>
      </c>
      <c r="C227" s="42" t="s">
        <v>274</v>
      </c>
      <c r="D227" s="42" t="s">
        <v>273</v>
      </c>
      <c r="E227" s="42" t="s">
        <v>272</v>
      </c>
      <c r="F227" s="42" t="s">
        <v>166</v>
      </c>
      <c r="G227" s="41">
        <v>100</v>
      </c>
      <c r="H227" s="41"/>
      <c r="I227" s="40">
        <f>IF(B227="","",IF(I226="",MASTER!$C$7,I226)+N(H227)-N(G227))</f>
        <v>8153</v>
      </c>
      <c r="J227" s="39">
        <v>19000</v>
      </c>
      <c r="K227" s="22">
        <f t="shared" si="10"/>
        <v>1900000</v>
      </c>
      <c r="L227" s="38" t="str">
        <f t="shared" si="11"/>
        <v/>
      </c>
      <c r="M227" s="37"/>
    </row>
    <row r="228" spans="1:13" x14ac:dyDescent="0.35">
      <c r="A228" s="44" t="str">
        <f t="shared" si="9"/>
        <v>June 2026</v>
      </c>
      <c r="B228" s="43">
        <v>46178</v>
      </c>
      <c r="C228" s="42" t="s">
        <v>258</v>
      </c>
      <c r="D228" s="42" t="s">
        <v>257</v>
      </c>
      <c r="E228" s="42" t="s">
        <v>141</v>
      </c>
      <c r="F228" s="42" t="s">
        <v>166</v>
      </c>
      <c r="G228" s="41">
        <v>90</v>
      </c>
      <c r="H228" s="41"/>
      <c r="I228" s="40">
        <f>IF(B228="","",IF(I227="",MASTER!$C$7,I227)+N(H228)-N(G228))</f>
        <v>8063</v>
      </c>
      <c r="J228" s="39">
        <v>19000</v>
      </c>
      <c r="K228" s="22">
        <f t="shared" si="10"/>
        <v>1710000</v>
      </c>
      <c r="L228" s="38" t="str">
        <f t="shared" si="11"/>
        <v/>
      </c>
      <c r="M228" s="37"/>
    </row>
    <row r="229" spans="1:13" x14ac:dyDescent="0.35">
      <c r="A229" s="44" t="str">
        <f t="shared" si="9"/>
        <v>June 2026</v>
      </c>
      <c r="B229" s="43">
        <v>46178</v>
      </c>
      <c r="C229" s="42" t="s">
        <v>159</v>
      </c>
      <c r="D229" s="42" t="s">
        <v>41</v>
      </c>
      <c r="E229" s="42" t="s">
        <v>158</v>
      </c>
      <c r="F229" s="42" t="s">
        <v>157</v>
      </c>
      <c r="G229" s="41">
        <v>100</v>
      </c>
      <c r="H229" s="41"/>
      <c r="I229" s="40">
        <f>IF(B229="","",IF(I228="",MASTER!$C$7,I228)+N(H229)-N(G229))</f>
        <v>7963</v>
      </c>
      <c r="J229" s="39">
        <v>19000</v>
      </c>
      <c r="K229" s="22">
        <f t="shared" si="10"/>
        <v>1900000</v>
      </c>
      <c r="L229" s="38" t="str">
        <f t="shared" si="11"/>
        <v/>
      </c>
      <c r="M229" s="37"/>
    </row>
    <row r="230" spans="1:13" x14ac:dyDescent="0.35">
      <c r="A230" s="44" t="str">
        <f t="shared" si="9"/>
        <v>June 2026</v>
      </c>
      <c r="B230" s="43">
        <v>46178</v>
      </c>
      <c r="C230" s="42" t="s">
        <v>199</v>
      </c>
      <c r="D230" s="42" t="s">
        <v>198</v>
      </c>
      <c r="E230" s="42" t="s">
        <v>54</v>
      </c>
      <c r="F230" s="42" t="s">
        <v>166</v>
      </c>
      <c r="G230" s="41">
        <v>100</v>
      </c>
      <c r="H230" s="41"/>
      <c r="I230" s="40">
        <f>IF(B230="","",IF(I229="",MASTER!$C$7,I229)+N(H230)-N(G230))</f>
        <v>7863</v>
      </c>
      <c r="J230" s="39">
        <v>19000</v>
      </c>
      <c r="K230" s="22">
        <f t="shared" si="10"/>
        <v>1900000</v>
      </c>
      <c r="L230" s="38" t="str">
        <f t="shared" si="11"/>
        <v/>
      </c>
      <c r="M230" s="37"/>
    </row>
    <row r="231" spans="1:13" x14ac:dyDescent="0.35">
      <c r="A231" s="44" t="str">
        <f t="shared" si="9"/>
        <v>June 2026</v>
      </c>
      <c r="B231" s="43">
        <v>46178</v>
      </c>
      <c r="C231" s="42" t="s">
        <v>234</v>
      </c>
      <c r="D231" s="42" t="s">
        <v>271</v>
      </c>
      <c r="E231" s="42" t="s">
        <v>54</v>
      </c>
      <c r="F231" s="42" t="s">
        <v>166</v>
      </c>
      <c r="G231" s="41">
        <v>100</v>
      </c>
      <c r="H231" s="41"/>
      <c r="I231" s="40">
        <f>IF(B231="","",IF(I230="",MASTER!$C$7,I230)+N(H231)-N(G231))</f>
        <v>7763</v>
      </c>
      <c r="J231" s="39">
        <v>19000</v>
      </c>
      <c r="K231" s="22">
        <f t="shared" si="10"/>
        <v>1900000</v>
      </c>
      <c r="L231" s="38" t="str">
        <f t="shared" si="11"/>
        <v/>
      </c>
      <c r="M231" s="37"/>
    </row>
    <row r="232" spans="1:13" x14ac:dyDescent="0.35">
      <c r="A232" s="44" t="str">
        <f t="shared" si="9"/>
        <v>June 2026</v>
      </c>
      <c r="B232" s="43">
        <v>46178</v>
      </c>
      <c r="C232" s="42" t="s">
        <v>170</v>
      </c>
      <c r="D232" s="42" t="s">
        <v>269</v>
      </c>
      <c r="E232" s="42" t="s">
        <v>54</v>
      </c>
      <c r="F232" s="42" t="s">
        <v>166</v>
      </c>
      <c r="G232" s="41">
        <v>150</v>
      </c>
      <c r="H232" s="41"/>
      <c r="I232" s="40">
        <f>IF(B232="","",IF(I231="",MASTER!$C$7,I231)+N(H232)-N(G232))</f>
        <v>7613</v>
      </c>
      <c r="J232" s="39">
        <v>19000</v>
      </c>
      <c r="K232" s="22">
        <f t="shared" si="10"/>
        <v>2850000</v>
      </c>
      <c r="L232" s="38" t="str">
        <f t="shared" si="11"/>
        <v/>
      </c>
      <c r="M232" s="37"/>
    </row>
    <row r="233" spans="1:13" x14ac:dyDescent="0.35">
      <c r="A233" s="44" t="str">
        <f t="shared" si="9"/>
        <v>June 2026</v>
      </c>
      <c r="B233" s="43">
        <v>46178</v>
      </c>
      <c r="C233" s="42" t="s">
        <v>174</v>
      </c>
      <c r="D233" s="42" t="s">
        <v>259</v>
      </c>
      <c r="E233" s="42" t="s">
        <v>54</v>
      </c>
      <c r="F233" s="42" t="s">
        <v>166</v>
      </c>
      <c r="G233" s="41">
        <v>200</v>
      </c>
      <c r="H233" s="41"/>
      <c r="I233" s="40">
        <f>IF(B233="","",IF(I232="",MASTER!$C$7,I232)+N(H233)-N(G233))</f>
        <v>7413</v>
      </c>
      <c r="J233" s="39">
        <v>19000</v>
      </c>
      <c r="K233" s="22">
        <f t="shared" si="10"/>
        <v>3800000</v>
      </c>
      <c r="L233" s="38" t="str">
        <f t="shared" si="11"/>
        <v/>
      </c>
      <c r="M233" s="37"/>
    </row>
    <row r="234" spans="1:13" x14ac:dyDescent="0.35">
      <c r="A234" s="44" t="str">
        <f t="shared" si="9"/>
        <v>June 2026</v>
      </c>
      <c r="B234" s="43">
        <v>46178</v>
      </c>
      <c r="C234" s="42" t="s">
        <v>274</v>
      </c>
      <c r="D234" s="42" t="s">
        <v>273</v>
      </c>
      <c r="E234" s="42" t="s">
        <v>272</v>
      </c>
      <c r="F234" s="42" t="s">
        <v>166</v>
      </c>
      <c r="G234" s="41">
        <v>100</v>
      </c>
      <c r="H234" s="41"/>
      <c r="I234" s="40">
        <f>IF(B234="","",IF(I233="",MASTER!$C$7,I233)+N(H234)-N(G234))</f>
        <v>7313</v>
      </c>
      <c r="J234" s="39">
        <v>19000</v>
      </c>
      <c r="K234" s="22">
        <f t="shared" si="10"/>
        <v>1900000</v>
      </c>
      <c r="L234" s="38" t="str">
        <f t="shared" si="11"/>
        <v/>
      </c>
      <c r="M234" s="37"/>
    </row>
    <row r="235" spans="1:13" x14ac:dyDescent="0.35">
      <c r="A235" s="44" t="str">
        <f t="shared" si="9"/>
        <v>June 2026</v>
      </c>
      <c r="B235" s="43">
        <v>46178</v>
      </c>
      <c r="C235" s="42" t="s">
        <v>159</v>
      </c>
      <c r="D235" s="42" t="s">
        <v>41</v>
      </c>
      <c r="E235" s="42" t="s">
        <v>158</v>
      </c>
      <c r="F235" s="42" t="s">
        <v>157</v>
      </c>
      <c r="G235" s="41">
        <v>100</v>
      </c>
      <c r="H235" s="41"/>
      <c r="I235" s="40">
        <f>IF(B235="","",IF(I234="",MASTER!$C$7,I234)+N(H235)-N(G235))</f>
        <v>7213</v>
      </c>
      <c r="J235" s="39">
        <v>19000</v>
      </c>
      <c r="K235" s="22">
        <f t="shared" si="10"/>
        <v>1900000</v>
      </c>
      <c r="L235" s="38" t="str">
        <f t="shared" si="11"/>
        <v/>
      </c>
      <c r="M235" s="37"/>
    </row>
    <row r="236" spans="1:13" x14ac:dyDescent="0.35">
      <c r="A236" s="44" t="str">
        <f t="shared" si="9"/>
        <v>June 2026</v>
      </c>
      <c r="B236" s="43">
        <v>46178</v>
      </c>
      <c r="C236" s="42" t="s">
        <v>199</v>
      </c>
      <c r="D236" s="42" t="s">
        <v>198</v>
      </c>
      <c r="E236" s="42" t="s">
        <v>54</v>
      </c>
      <c r="F236" s="42" t="s">
        <v>166</v>
      </c>
      <c r="G236" s="41">
        <v>100</v>
      </c>
      <c r="H236" s="41"/>
      <c r="I236" s="40">
        <f>IF(B236="","",IF(I235="",MASTER!$C$7,I235)+N(H236)-N(G236))</f>
        <v>7113</v>
      </c>
      <c r="J236" s="39">
        <v>19000</v>
      </c>
      <c r="K236" s="22">
        <f t="shared" si="10"/>
        <v>1900000</v>
      </c>
      <c r="L236" s="38" t="str">
        <f t="shared" si="11"/>
        <v/>
      </c>
      <c r="M236" s="37"/>
    </row>
    <row r="237" spans="1:13" x14ac:dyDescent="0.35">
      <c r="A237" s="44" t="str">
        <f t="shared" si="9"/>
        <v>June 2026</v>
      </c>
      <c r="B237" s="43">
        <v>46178</v>
      </c>
      <c r="C237" s="42" t="s">
        <v>234</v>
      </c>
      <c r="D237" s="42" t="s">
        <v>271</v>
      </c>
      <c r="E237" s="42" t="s">
        <v>54</v>
      </c>
      <c r="F237" s="42" t="s">
        <v>166</v>
      </c>
      <c r="G237" s="41">
        <v>100</v>
      </c>
      <c r="H237" s="41"/>
      <c r="I237" s="40">
        <f>IF(B237="","",IF(I236="",MASTER!$C$7,I236)+N(H237)-N(G237))</f>
        <v>7013</v>
      </c>
      <c r="J237" s="39">
        <v>19000</v>
      </c>
      <c r="K237" s="22">
        <f t="shared" si="10"/>
        <v>1900000</v>
      </c>
      <c r="L237" s="38" t="str">
        <f t="shared" si="11"/>
        <v/>
      </c>
      <c r="M237" s="37"/>
    </row>
    <row r="238" spans="1:13" x14ac:dyDescent="0.35">
      <c r="A238" s="44" t="str">
        <f t="shared" si="9"/>
        <v>June 2026</v>
      </c>
      <c r="B238" s="43">
        <v>46178</v>
      </c>
      <c r="C238" s="42" t="s">
        <v>192</v>
      </c>
      <c r="D238" s="42" t="s">
        <v>191</v>
      </c>
      <c r="E238" s="42" t="s">
        <v>141</v>
      </c>
      <c r="F238" s="42" t="s">
        <v>166</v>
      </c>
      <c r="G238" s="41">
        <v>100</v>
      </c>
      <c r="H238" s="41"/>
      <c r="I238" s="40">
        <f>IF(B238="","",IF(I237="",MASTER!$C$7,I237)+N(H238)-N(G238))</f>
        <v>6913</v>
      </c>
      <c r="J238" s="39">
        <v>19000</v>
      </c>
      <c r="K238" s="22">
        <f t="shared" si="10"/>
        <v>1900000</v>
      </c>
      <c r="L238" s="38" t="str">
        <f t="shared" si="11"/>
        <v/>
      </c>
      <c r="M238" s="37"/>
    </row>
    <row r="239" spans="1:13" x14ac:dyDescent="0.35">
      <c r="A239" s="44" t="str">
        <f t="shared" si="9"/>
        <v>June 2026</v>
      </c>
      <c r="B239" s="43">
        <v>46178</v>
      </c>
      <c r="C239" s="42" t="s">
        <v>202</v>
      </c>
      <c r="D239" s="42" t="s">
        <v>201</v>
      </c>
      <c r="E239" s="42" t="s">
        <v>141</v>
      </c>
      <c r="F239" s="42" t="s">
        <v>166</v>
      </c>
      <c r="G239" s="41">
        <v>80</v>
      </c>
      <c r="H239" s="41"/>
      <c r="I239" s="40">
        <f>IF(B239="","",IF(I238="",MASTER!$C$7,I238)+N(H239)-N(G239))</f>
        <v>6833</v>
      </c>
      <c r="J239" s="39">
        <v>19000</v>
      </c>
      <c r="K239" s="22">
        <f t="shared" si="10"/>
        <v>1520000</v>
      </c>
      <c r="L239" s="38" t="str">
        <f t="shared" si="11"/>
        <v/>
      </c>
      <c r="M239" s="37"/>
    </row>
    <row r="240" spans="1:13" x14ac:dyDescent="0.35">
      <c r="A240" s="44" t="str">
        <f t="shared" si="9"/>
        <v>June 2026</v>
      </c>
      <c r="B240" s="43">
        <v>46178</v>
      </c>
      <c r="C240" s="42" t="s">
        <v>172</v>
      </c>
      <c r="D240" s="42" t="s">
        <v>270</v>
      </c>
      <c r="E240" s="42" t="s">
        <v>54</v>
      </c>
      <c r="F240" s="42" t="s">
        <v>166</v>
      </c>
      <c r="G240" s="41">
        <v>100</v>
      </c>
      <c r="H240" s="41"/>
      <c r="I240" s="40">
        <f>IF(B240="","",IF(I239="",MASTER!$C$7,I239)+N(H240)-N(G240))</f>
        <v>6733</v>
      </c>
      <c r="J240" s="39">
        <v>19000</v>
      </c>
      <c r="K240" s="22">
        <f t="shared" si="10"/>
        <v>1900000</v>
      </c>
      <c r="L240" s="38" t="str">
        <f t="shared" si="11"/>
        <v/>
      </c>
      <c r="M240" s="37"/>
    </row>
    <row r="241" spans="1:13" x14ac:dyDescent="0.35">
      <c r="A241" s="44" t="str">
        <f t="shared" si="9"/>
        <v>June 2026</v>
      </c>
      <c r="B241" s="43">
        <v>46178</v>
      </c>
      <c r="C241" s="42" t="s">
        <v>256</v>
      </c>
      <c r="D241" s="42" t="s">
        <v>173</v>
      </c>
      <c r="E241" s="42" t="s">
        <v>54</v>
      </c>
      <c r="F241" s="42" t="s">
        <v>166</v>
      </c>
      <c r="G241" s="41">
        <v>100</v>
      </c>
      <c r="H241" s="41"/>
      <c r="I241" s="40">
        <f>IF(B241="","",IF(I240="",MASTER!$C$7,I240)+N(H241)-N(G241))</f>
        <v>6633</v>
      </c>
      <c r="J241" s="39">
        <v>19000</v>
      </c>
      <c r="K241" s="22">
        <f t="shared" si="10"/>
        <v>1900000</v>
      </c>
      <c r="L241" s="38" t="str">
        <f t="shared" si="11"/>
        <v/>
      </c>
      <c r="M241" s="37"/>
    </row>
    <row r="242" spans="1:13" x14ac:dyDescent="0.35">
      <c r="A242" s="44" t="str">
        <f t="shared" si="9"/>
        <v>June 2026</v>
      </c>
      <c r="B242" s="43">
        <v>46179</v>
      </c>
      <c r="C242" s="42" t="s">
        <v>159</v>
      </c>
      <c r="D242" s="42" t="s">
        <v>41</v>
      </c>
      <c r="E242" s="42" t="s">
        <v>158</v>
      </c>
      <c r="F242" s="42" t="s">
        <v>157</v>
      </c>
      <c r="G242" s="41">
        <v>100</v>
      </c>
      <c r="H242" s="41"/>
      <c r="I242" s="40">
        <f>IF(B242="","",IF(I241="",MASTER!$C$7,I241)+N(H242)-N(G242))</f>
        <v>6533</v>
      </c>
      <c r="J242" s="39">
        <v>19000</v>
      </c>
      <c r="K242" s="22">
        <f t="shared" si="10"/>
        <v>1900000</v>
      </c>
      <c r="L242" s="38" t="str">
        <f t="shared" si="11"/>
        <v/>
      </c>
      <c r="M242" s="37"/>
    </row>
    <row r="243" spans="1:13" x14ac:dyDescent="0.35">
      <c r="A243" s="44" t="str">
        <f t="shared" si="9"/>
        <v>June 2026</v>
      </c>
      <c r="B243" s="43">
        <v>46179</v>
      </c>
      <c r="C243" s="42" t="s">
        <v>170</v>
      </c>
      <c r="D243" s="42" t="s">
        <v>269</v>
      </c>
      <c r="E243" s="42" t="s">
        <v>54</v>
      </c>
      <c r="F243" s="42" t="s">
        <v>166</v>
      </c>
      <c r="G243" s="41">
        <v>150</v>
      </c>
      <c r="H243" s="41"/>
      <c r="I243" s="40">
        <f>IF(B243="","",IF(I242="",MASTER!$C$7,I242)+N(H243)-N(G243))</f>
        <v>6383</v>
      </c>
      <c r="J243" s="39">
        <v>19000</v>
      </c>
      <c r="K243" s="22">
        <f t="shared" si="10"/>
        <v>2850000</v>
      </c>
      <c r="L243" s="38" t="str">
        <f t="shared" si="11"/>
        <v/>
      </c>
      <c r="M243" s="37"/>
    </row>
    <row r="244" spans="1:13" x14ac:dyDescent="0.35">
      <c r="A244" s="44" t="str">
        <f t="shared" si="9"/>
        <v>June 2026</v>
      </c>
      <c r="B244" s="43">
        <v>46179</v>
      </c>
      <c r="C244" s="42" t="s">
        <v>190</v>
      </c>
      <c r="D244" s="42" t="s">
        <v>268</v>
      </c>
      <c r="E244" s="42" t="s">
        <v>188</v>
      </c>
      <c r="F244" s="42" t="s">
        <v>155</v>
      </c>
      <c r="G244" s="41">
        <v>50</v>
      </c>
      <c r="H244" s="41"/>
      <c r="I244" s="40">
        <f>IF(B244="","",IF(I243="",MASTER!$C$7,I243)+N(H244)-N(G244))</f>
        <v>6333</v>
      </c>
      <c r="J244" s="39">
        <v>19000</v>
      </c>
      <c r="K244" s="22">
        <f t="shared" si="10"/>
        <v>950000</v>
      </c>
      <c r="L244" s="38" t="str">
        <f t="shared" si="11"/>
        <v/>
      </c>
      <c r="M244" s="37"/>
    </row>
    <row r="245" spans="1:13" x14ac:dyDescent="0.35">
      <c r="A245" s="44" t="str">
        <f t="shared" si="9"/>
        <v>June 2026</v>
      </c>
      <c r="B245" s="43">
        <v>46180</v>
      </c>
      <c r="C245" s="42" t="s">
        <v>232</v>
      </c>
      <c r="D245" s="42" t="s">
        <v>267</v>
      </c>
      <c r="E245" s="42" t="s">
        <v>266</v>
      </c>
      <c r="F245" s="42" t="s">
        <v>157</v>
      </c>
      <c r="G245" s="41">
        <v>1000</v>
      </c>
      <c r="H245" s="41"/>
      <c r="I245" s="40">
        <f>IF(B245="","",IF(I244="",MASTER!$C$7,I244)+N(H245)-N(G245))</f>
        <v>5333</v>
      </c>
      <c r="J245" s="39">
        <v>19000</v>
      </c>
      <c r="K245" s="22">
        <f t="shared" si="10"/>
        <v>19000000</v>
      </c>
      <c r="L245" s="38" t="str">
        <f t="shared" si="11"/>
        <v/>
      </c>
      <c r="M245" s="37"/>
    </row>
    <row r="246" spans="1:13" x14ac:dyDescent="0.35">
      <c r="A246" s="44" t="str">
        <f t="shared" si="9"/>
        <v>June 2026</v>
      </c>
      <c r="B246" s="43">
        <v>46180</v>
      </c>
      <c r="C246" s="42" t="s">
        <v>235</v>
      </c>
      <c r="D246" s="42" t="s">
        <v>200</v>
      </c>
      <c r="E246" s="42" t="s">
        <v>54</v>
      </c>
      <c r="F246" s="42" t="s">
        <v>166</v>
      </c>
      <c r="G246" s="41">
        <v>200</v>
      </c>
      <c r="H246" s="41"/>
      <c r="I246" s="40">
        <f>IF(B246="","",IF(I245="",MASTER!$C$7,I245)+N(H246)-N(G246))</f>
        <v>5133</v>
      </c>
      <c r="J246" s="39">
        <v>19000</v>
      </c>
      <c r="K246" s="22">
        <f t="shared" si="10"/>
        <v>3800000</v>
      </c>
      <c r="L246" s="38" t="str">
        <f t="shared" si="11"/>
        <v/>
      </c>
      <c r="M246" s="37"/>
    </row>
    <row r="247" spans="1:13" x14ac:dyDescent="0.35">
      <c r="A247" s="44" t="str">
        <f t="shared" si="9"/>
        <v>June 2026</v>
      </c>
      <c r="B247" s="43">
        <v>46180</v>
      </c>
      <c r="C247" s="42" t="s">
        <v>202</v>
      </c>
      <c r="D247" s="42" t="s">
        <v>201</v>
      </c>
      <c r="E247" s="42" t="s">
        <v>141</v>
      </c>
      <c r="F247" s="42" t="s">
        <v>166</v>
      </c>
      <c r="G247" s="41">
        <v>80</v>
      </c>
      <c r="H247" s="41"/>
      <c r="I247" s="40">
        <f>IF(B247="","",IF(I246="",MASTER!$C$7,I246)+N(H247)-N(G247))</f>
        <v>5053</v>
      </c>
      <c r="J247" s="39">
        <v>19000</v>
      </c>
      <c r="K247" s="22">
        <f t="shared" si="10"/>
        <v>1520000</v>
      </c>
      <c r="L247" s="38" t="str">
        <f t="shared" si="11"/>
        <v/>
      </c>
      <c r="M247" s="37"/>
    </row>
    <row r="248" spans="1:13" x14ac:dyDescent="0.35">
      <c r="A248" s="44" t="str">
        <f t="shared" si="9"/>
        <v>June 2026</v>
      </c>
      <c r="B248" s="43">
        <v>46180</v>
      </c>
      <c r="C248" s="42" t="s">
        <v>192</v>
      </c>
      <c r="D248" s="42" t="s">
        <v>191</v>
      </c>
      <c r="E248" s="42" t="s">
        <v>141</v>
      </c>
      <c r="F248" s="42" t="s">
        <v>166</v>
      </c>
      <c r="G248" s="41">
        <v>50</v>
      </c>
      <c r="H248" s="41"/>
      <c r="I248" s="40">
        <f>IF(B248="","",IF(I247="",MASTER!$C$7,I247)+N(H248)-N(G248))</f>
        <v>5003</v>
      </c>
      <c r="J248" s="39">
        <v>19000</v>
      </c>
      <c r="K248" s="22">
        <f t="shared" si="10"/>
        <v>950000</v>
      </c>
      <c r="L248" s="38" t="str">
        <f t="shared" si="11"/>
        <v/>
      </c>
      <c r="M248" s="37"/>
    </row>
    <row r="249" spans="1:13" x14ac:dyDescent="0.35">
      <c r="A249" s="44" t="str">
        <f t="shared" si="9"/>
        <v>June 2026</v>
      </c>
      <c r="B249" s="43">
        <v>46180</v>
      </c>
      <c r="C249" s="42" t="s">
        <v>199</v>
      </c>
      <c r="D249" s="42" t="s">
        <v>198</v>
      </c>
      <c r="E249" s="42" t="s">
        <v>54</v>
      </c>
      <c r="F249" s="42" t="s">
        <v>166</v>
      </c>
      <c r="G249" s="41">
        <v>200</v>
      </c>
      <c r="H249" s="41"/>
      <c r="I249" s="40">
        <f>IF(B249="","",IF(I248="",MASTER!$C$7,I248)+N(H249)-N(G249))</f>
        <v>4803</v>
      </c>
      <c r="J249" s="39">
        <v>19000</v>
      </c>
      <c r="K249" s="22">
        <f t="shared" si="10"/>
        <v>3800000</v>
      </c>
      <c r="L249" s="38" t="str">
        <f t="shared" si="11"/>
        <v/>
      </c>
      <c r="M249" s="37"/>
    </row>
    <row r="250" spans="1:13" x14ac:dyDescent="0.35">
      <c r="A250" s="44" t="str">
        <f t="shared" si="9"/>
        <v>June 2026</v>
      </c>
      <c r="B250" s="43">
        <v>46180</v>
      </c>
      <c r="C250" s="42" t="s">
        <v>265</v>
      </c>
      <c r="D250" s="42" t="s">
        <v>264</v>
      </c>
      <c r="E250" s="42" t="s">
        <v>54</v>
      </c>
      <c r="F250" s="42" t="s">
        <v>166</v>
      </c>
      <c r="G250" s="41">
        <v>200</v>
      </c>
      <c r="H250" s="41"/>
      <c r="I250" s="40">
        <f>IF(B250="","",IF(I249="",MASTER!$C$7,I249)+N(H250)-N(G250))</f>
        <v>4603</v>
      </c>
      <c r="J250" s="39">
        <v>19000</v>
      </c>
      <c r="K250" s="22">
        <f t="shared" si="10"/>
        <v>3800000</v>
      </c>
      <c r="L250" s="38" t="str">
        <f t="shared" si="11"/>
        <v/>
      </c>
      <c r="M250" s="37"/>
    </row>
    <row r="251" spans="1:13" x14ac:dyDescent="0.35">
      <c r="A251" s="44" t="str">
        <f t="shared" si="9"/>
        <v>June 2026</v>
      </c>
      <c r="B251" s="43">
        <v>46180</v>
      </c>
      <c r="C251" s="42" t="s">
        <v>263</v>
      </c>
      <c r="D251" s="42" t="s">
        <v>236</v>
      </c>
      <c r="E251" s="42" t="s">
        <v>54</v>
      </c>
      <c r="F251" s="42" t="s">
        <v>166</v>
      </c>
      <c r="G251" s="41">
        <v>100</v>
      </c>
      <c r="H251" s="41"/>
      <c r="I251" s="40">
        <f>IF(B251="","",IF(I250="",MASTER!$C$7,I250)+N(H251)-N(G251))</f>
        <v>4503</v>
      </c>
      <c r="J251" s="39">
        <v>19000</v>
      </c>
      <c r="K251" s="22">
        <f t="shared" si="10"/>
        <v>1900000</v>
      </c>
      <c r="L251" s="38" t="str">
        <f t="shared" si="11"/>
        <v/>
      </c>
      <c r="M251" s="37"/>
    </row>
    <row r="252" spans="1:13" x14ac:dyDescent="0.35">
      <c r="A252" s="44" t="str">
        <f t="shared" si="9"/>
        <v>June 2026</v>
      </c>
      <c r="B252" s="43">
        <v>46180</v>
      </c>
      <c r="C252" s="42" t="s">
        <v>234</v>
      </c>
      <c r="D252" s="42" t="s">
        <v>233</v>
      </c>
      <c r="E252" s="42" t="s">
        <v>54</v>
      </c>
      <c r="F252" s="42" t="s">
        <v>166</v>
      </c>
      <c r="G252" s="41">
        <v>200</v>
      </c>
      <c r="H252" s="41"/>
      <c r="I252" s="40">
        <f>IF(B252="","",IF(I251="",MASTER!$C$7,I251)+N(H252)-N(G252))</f>
        <v>4303</v>
      </c>
      <c r="J252" s="39">
        <v>19000</v>
      </c>
      <c r="K252" s="22">
        <f t="shared" si="10"/>
        <v>3800000</v>
      </c>
      <c r="L252" s="38" t="str">
        <f t="shared" si="11"/>
        <v/>
      </c>
      <c r="M252" s="37"/>
    </row>
    <row r="253" spans="1:13" x14ac:dyDescent="0.35">
      <c r="A253" s="44" t="str">
        <f t="shared" si="9"/>
        <v>June 2026</v>
      </c>
      <c r="B253" s="43">
        <v>46180</v>
      </c>
      <c r="C253" s="42" t="s">
        <v>262</v>
      </c>
      <c r="D253" s="42" t="s">
        <v>261</v>
      </c>
      <c r="E253" s="42" t="s">
        <v>54</v>
      </c>
      <c r="F253" s="42" t="s">
        <v>166</v>
      </c>
      <c r="G253" s="41">
        <v>80</v>
      </c>
      <c r="H253" s="41"/>
      <c r="I253" s="40">
        <f>IF(B253="","",IF(I252="",MASTER!$C$7,I252)+N(H253)-N(G253))</f>
        <v>4223</v>
      </c>
      <c r="J253" s="39">
        <v>19000</v>
      </c>
      <c r="K253" s="22">
        <f t="shared" si="10"/>
        <v>1520000</v>
      </c>
      <c r="L253" s="38" t="str">
        <f t="shared" si="11"/>
        <v/>
      </c>
      <c r="M253" s="37"/>
    </row>
    <row r="254" spans="1:13" x14ac:dyDescent="0.35">
      <c r="A254" s="44" t="str">
        <f t="shared" si="9"/>
        <v>June 2026</v>
      </c>
      <c r="B254" s="43">
        <v>46180</v>
      </c>
      <c r="C254" s="42" t="s">
        <v>172</v>
      </c>
      <c r="D254" s="42" t="s">
        <v>171</v>
      </c>
      <c r="E254" s="42" t="s">
        <v>54</v>
      </c>
      <c r="F254" s="42" t="s">
        <v>166</v>
      </c>
      <c r="G254" s="41">
        <v>300</v>
      </c>
      <c r="H254" s="41"/>
      <c r="I254" s="40">
        <f>IF(B254="","",IF(I253="",MASTER!$C$7,I253)+N(H254)-N(G254))</f>
        <v>3923</v>
      </c>
      <c r="J254" s="39">
        <v>19000</v>
      </c>
      <c r="K254" s="22">
        <f t="shared" si="10"/>
        <v>5700000</v>
      </c>
      <c r="L254" s="38" t="str">
        <f t="shared" si="11"/>
        <v/>
      </c>
      <c r="M254" s="37"/>
    </row>
    <row r="255" spans="1:13" x14ac:dyDescent="0.35">
      <c r="A255" s="44" t="str">
        <f t="shared" si="9"/>
        <v>June 2026</v>
      </c>
      <c r="B255" s="43">
        <v>46180</v>
      </c>
      <c r="C255" s="42" t="s">
        <v>174</v>
      </c>
      <c r="D255" s="42" t="s">
        <v>260</v>
      </c>
      <c r="E255" s="42" t="s">
        <v>54</v>
      </c>
      <c r="F255" s="42" t="s">
        <v>166</v>
      </c>
      <c r="G255" s="41">
        <v>300</v>
      </c>
      <c r="H255" s="41"/>
      <c r="I255" s="40">
        <f>IF(B255="","",IF(I254="",MASTER!$C$7,I254)+N(H255)-N(G255))</f>
        <v>3623</v>
      </c>
      <c r="J255" s="39">
        <v>19000</v>
      </c>
      <c r="K255" s="22">
        <f t="shared" si="10"/>
        <v>5700000</v>
      </c>
      <c r="L255" s="38" t="str">
        <f t="shared" si="11"/>
        <v/>
      </c>
      <c r="M255" s="37"/>
    </row>
    <row r="256" spans="1:13" x14ac:dyDescent="0.35">
      <c r="A256" s="44" t="str">
        <f t="shared" si="9"/>
        <v>June 2026</v>
      </c>
      <c r="B256" s="43">
        <v>46180</v>
      </c>
      <c r="C256" s="42" t="s">
        <v>293</v>
      </c>
      <c r="D256" s="42" t="s">
        <v>259</v>
      </c>
      <c r="E256" s="42" t="s">
        <v>54</v>
      </c>
      <c r="F256" s="42" t="s">
        <v>166</v>
      </c>
      <c r="G256" s="41">
        <v>200</v>
      </c>
      <c r="H256" s="41"/>
      <c r="I256" s="40">
        <f>IF(B256="","",IF(I255="",MASTER!$C$7,I255)+N(H256)-N(G256))</f>
        <v>3423</v>
      </c>
      <c r="J256" s="39">
        <v>19000</v>
      </c>
      <c r="K256" s="22">
        <f t="shared" si="10"/>
        <v>3800000</v>
      </c>
      <c r="L256" s="38" t="str">
        <f t="shared" si="11"/>
        <v/>
      </c>
      <c r="M256" s="37"/>
    </row>
    <row r="257" spans="1:13" x14ac:dyDescent="0.35">
      <c r="A257" s="44" t="str">
        <f t="shared" si="9"/>
        <v>June 2026</v>
      </c>
      <c r="B257" s="43">
        <v>46180</v>
      </c>
      <c r="C257" s="42" t="s">
        <v>258</v>
      </c>
      <c r="D257" s="42" t="s">
        <v>257</v>
      </c>
      <c r="E257" s="42" t="s">
        <v>141</v>
      </c>
      <c r="F257" s="42" t="s">
        <v>166</v>
      </c>
      <c r="G257" s="41">
        <v>80</v>
      </c>
      <c r="H257" s="41"/>
      <c r="I257" s="40">
        <f>IF(B257="","",IF(I256="",MASTER!$C$7,I256)+N(H257)-N(G257))</f>
        <v>3343</v>
      </c>
      <c r="J257" s="39">
        <v>19000</v>
      </c>
      <c r="K257" s="22">
        <f t="shared" si="10"/>
        <v>1520000</v>
      </c>
      <c r="L257" s="38" t="str">
        <f t="shared" si="11"/>
        <v/>
      </c>
      <c r="M257" s="37"/>
    </row>
    <row r="258" spans="1:13" x14ac:dyDescent="0.35">
      <c r="A258" s="44" t="str">
        <f t="shared" si="9"/>
        <v>June 2026</v>
      </c>
      <c r="B258" s="43">
        <v>46180</v>
      </c>
      <c r="C258" s="42" t="s">
        <v>256</v>
      </c>
      <c r="D258" s="42" t="s">
        <v>173</v>
      </c>
      <c r="E258" s="42" t="s">
        <v>54</v>
      </c>
      <c r="F258" s="42" t="s">
        <v>166</v>
      </c>
      <c r="G258" s="41">
        <v>200</v>
      </c>
      <c r="H258" s="41"/>
      <c r="I258" s="40">
        <f>IF(B258="","",IF(I257="",MASTER!$C$7,I257)+N(H258)-N(G258))</f>
        <v>3143</v>
      </c>
      <c r="J258" s="39">
        <v>19000</v>
      </c>
      <c r="K258" s="22">
        <f t="shared" si="10"/>
        <v>3800000</v>
      </c>
      <c r="L258" s="38" t="str">
        <f t="shared" si="11"/>
        <v/>
      </c>
      <c r="M258" s="37"/>
    </row>
    <row r="259" spans="1:13" x14ac:dyDescent="0.35">
      <c r="A259" s="44" t="str">
        <f t="shared" ref="A259:A322" si="12">IF(B259="","",TEXT(B259,"MMMM YYYY"))</f>
        <v>June 2026</v>
      </c>
      <c r="B259" s="43">
        <v>46180</v>
      </c>
      <c r="C259" s="42" t="s">
        <v>190</v>
      </c>
      <c r="D259" s="42" t="s">
        <v>255</v>
      </c>
      <c r="E259" s="42" t="s">
        <v>188</v>
      </c>
      <c r="F259" s="42" t="s">
        <v>155</v>
      </c>
      <c r="G259" s="41">
        <v>33</v>
      </c>
      <c r="H259" s="41"/>
      <c r="I259" s="40">
        <f>IF(B259="","",IF(I258="",MASTER!$C$7,I258)+N(H259)-N(G259))</f>
        <v>3110</v>
      </c>
      <c r="J259" s="39">
        <v>19000</v>
      </c>
      <c r="K259" s="22">
        <f t="shared" ref="K259:K322" si="13">IF(OR(B259="",J259=""),"",N(G259)*J259)</f>
        <v>627000</v>
      </c>
      <c r="L259" s="38" t="str">
        <f t="shared" ref="L259:L322" si="14">IF(OR(B259="",H259="",J259=""),"",N(H259)*J259)</f>
        <v/>
      </c>
      <c r="M259" s="37"/>
    </row>
    <row r="260" spans="1:13" x14ac:dyDescent="0.35">
      <c r="A260" s="44" t="str">
        <f t="shared" si="12"/>
        <v>June 2026</v>
      </c>
      <c r="B260" s="43">
        <v>46180</v>
      </c>
      <c r="C260" s="42" t="s">
        <v>176</v>
      </c>
      <c r="D260" s="42" t="s">
        <v>175</v>
      </c>
      <c r="E260" s="42" t="s">
        <v>141</v>
      </c>
      <c r="F260" s="42" t="s">
        <v>155</v>
      </c>
      <c r="G260" s="41">
        <v>50</v>
      </c>
      <c r="H260" s="41"/>
      <c r="I260" s="40">
        <f>IF(B260="","",IF(I259="",MASTER!$C$7,I259)+N(H260)-N(G260))</f>
        <v>3060</v>
      </c>
      <c r="J260" s="39">
        <v>19000</v>
      </c>
      <c r="K260" s="22">
        <f t="shared" si="13"/>
        <v>950000</v>
      </c>
      <c r="L260" s="38" t="str">
        <f t="shared" si="14"/>
        <v/>
      </c>
      <c r="M260" s="37"/>
    </row>
    <row r="261" spans="1:13" x14ac:dyDescent="0.35">
      <c r="A261" s="44" t="str">
        <f t="shared" si="12"/>
        <v>June 2026</v>
      </c>
      <c r="B261" s="43">
        <v>46180</v>
      </c>
      <c r="C261" s="42" t="s">
        <v>178</v>
      </c>
      <c r="D261" s="42" t="s">
        <v>177</v>
      </c>
      <c r="E261" s="42" t="s">
        <v>141</v>
      </c>
      <c r="F261" s="42" t="s">
        <v>155</v>
      </c>
      <c r="G261" s="41">
        <v>50</v>
      </c>
      <c r="H261" s="41"/>
      <c r="I261" s="40">
        <f>IF(B261="","",IF(I260="",MASTER!$C$7,I260)+N(H261)-N(G261))</f>
        <v>3010</v>
      </c>
      <c r="J261" s="39">
        <v>19000</v>
      </c>
      <c r="K261" s="22">
        <f t="shared" si="13"/>
        <v>950000</v>
      </c>
      <c r="L261" s="38" t="str">
        <f t="shared" si="14"/>
        <v/>
      </c>
      <c r="M261" s="37"/>
    </row>
    <row r="262" spans="1:13" x14ac:dyDescent="0.35">
      <c r="A262" s="44" t="str">
        <f t="shared" si="12"/>
        <v>June 2026</v>
      </c>
      <c r="B262" s="43">
        <v>46180</v>
      </c>
      <c r="C262" s="42" t="s">
        <v>184</v>
      </c>
      <c r="D262" s="42" t="s">
        <v>254</v>
      </c>
      <c r="E262" s="42" t="s">
        <v>141</v>
      </c>
      <c r="F262" s="42" t="s">
        <v>155</v>
      </c>
      <c r="G262" s="41">
        <v>50</v>
      </c>
      <c r="H262" s="41"/>
      <c r="I262" s="40">
        <f>IF(B262="","",IF(I261="",MASTER!$C$7,I261)+N(H262)-N(G262))</f>
        <v>2960</v>
      </c>
      <c r="J262" s="39">
        <v>19000</v>
      </c>
      <c r="K262" s="22">
        <f t="shared" si="13"/>
        <v>950000</v>
      </c>
      <c r="L262" s="38" t="str">
        <f t="shared" si="14"/>
        <v/>
      </c>
      <c r="M262" s="37"/>
    </row>
    <row r="263" spans="1:13" x14ac:dyDescent="0.35">
      <c r="A263" s="44" t="str">
        <f t="shared" si="12"/>
        <v>June 2026</v>
      </c>
      <c r="B263" s="43">
        <v>46181</v>
      </c>
      <c r="C263" s="42" t="s">
        <v>225</v>
      </c>
      <c r="D263" s="42" t="s">
        <v>254</v>
      </c>
      <c r="E263" s="42" t="s">
        <v>141</v>
      </c>
      <c r="F263" s="42" t="s">
        <v>155</v>
      </c>
      <c r="G263" s="41">
        <v>50</v>
      </c>
      <c r="H263" s="41">
        <v>10000</v>
      </c>
      <c r="I263" s="40">
        <f>IF(B263="","",IF(I262="",MASTER!$C$7,I262)+N(H263)-N(G263))</f>
        <v>12910</v>
      </c>
      <c r="J263" s="39">
        <v>19000</v>
      </c>
      <c r="K263" s="22">
        <f t="shared" si="13"/>
        <v>950000</v>
      </c>
      <c r="L263" s="38">
        <f t="shared" si="14"/>
        <v>190000000</v>
      </c>
      <c r="M263" s="37"/>
    </row>
    <row r="264" spans="1:13" x14ac:dyDescent="0.35">
      <c r="A264" s="44" t="str">
        <f t="shared" si="12"/>
        <v>June 2026</v>
      </c>
      <c r="B264" s="43">
        <v>46181</v>
      </c>
      <c r="C264" s="42" t="s">
        <v>253</v>
      </c>
      <c r="D264" s="42" t="s">
        <v>181</v>
      </c>
      <c r="E264" s="42" t="s">
        <v>141</v>
      </c>
      <c r="F264" s="42" t="s">
        <v>155</v>
      </c>
      <c r="G264" s="41">
        <v>50</v>
      </c>
      <c r="H264" s="41"/>
      <c r="I264" s="40">
        <f>IF(B264="","",IF(I263="",MASTER!$C$7,I263)+N(H264)-N(G264))</f>
        <v>12860</v>
      </c>
      <c r="J264" s="39">
        <v>19000</v>
      </c>
      <c r="K264" s="22">
        <f t="shared" si="13"/>
        <v>950000</v>
      </c>
      <c r="L264" s="38" t="str">
        <f t="shared" si="14"/>
        <v/>
      </c>
      <c r="M264" s="37"/>
    </row>
    <row r="265" spans="1:13" x14ac:dyDescent="0.35">
      <c r="A265" s="44" t="str">
        <f t="shared" si="12"/>
        <v>June 2026</v>
      </c>
      <c r="B265" s="43">
        <v>46181</v>
      </c>
      <c r="C265" s="42" t="s">
        <v>228</v>
      </c>
      <c r="D265" s="42" t="s">
        <v>179</v>
      </c>
      <c r="E265" s="42" t="s">
        <v>141</v>
      </c>
      <c r="F265" s="42" t="s">
        <v>155</v>
      </c>
      <c r="G265" s="41">
        <v>50</v>
      </c>
      <c r="H265" s="41"/>
      <c r="I265" s="40">
        <f>IF(B265="","",IF(I264="",MASTER!$C$7,I264)+N(H265)-N(G265))</f>
        <v>12810</v>
      </c>
      <c r="J265" s="39">
        <v>19000</v>
      </c>
      <c r="K265" s="22">
        <f t="shared" si="13"/>
        <v>950000</v>
      </c>
      <c r="L265" s="38" t="str">
        <f t="shared" si="14"/>
        <v/>
      </c>
      <c r="M265" s="37"/>
    </row>
    <row r="266" spans="1:13" x14ac:dyDescent="0.35">
      <c r="A266" s="44" t="str">
        <f t="shared" si="12"/>
        <v>June 2026</v>
      </c>
      <c r="B266" s="43">
        <v>46181</v>
      </c>
      <c r="C266" s="42" t="s">
        <v>252</v>
      </c>
      <c r="D266" s="42" t="s">
        <v>179</v>
      </c>
      <c r="E266" s="42" t="s">
        <v>141</v>
      </c>
      <c r="F266" s="42" t="s">
        <v>155</v>
      </c>
      <c r="G266" s="41">
        <v>50</v>
      </c>
      <c r="H266" s="41"/>
      <c r="I266" s="40">
        <f>IF(B266="","",IF(I265="",MASTER!$C$7,I265)+N(H266)-N(G266))</f>
        <v>12760</v>
      </c>
      <c r="J266" s="39">
        <v>19000</v>
      </c>
      <c r="K266" s="22">
        <f t="shared" si="13"/>
        <v>950000</v>
      </c>
      <c r="L266" s="38" t="str">
        <f t="shared" si="14"/>
        <v/>
      </c>
      <c r="M266" s="37"/>
    </row>
    <row r="267" spans="1:13" x14ac:dyDescent="0.35">
      <c r="A267" s="44" t="str">
        <f t="shared" si="12"/>
        <v>June 2026</v>
      </c>
      <c r="B267" s="43">
        <v>46181</v>
      </c>
      <c r="C267" s="42" t="s">
        <v>185</v>
      </c>
      <c r="D267" s="42" t="s">
        <v>251</v>
      </c>
      <c r="E267" s="42" t="s">
        <v>141</v>
      </c>
      <c r="F267" s="42" t="s">
        <v>155</v>
      </c>
      <c r="G267" s="41">
        <v>50</v>
      </c>
      <c r="H267" s="41"/>
      <c r="I267" s="40">
        <f>IF(B267="","",IF(I266="",MASTER!$C$7,I266)+N(H267)-N(G267))</f>
        <v>12710</v>
      </c>
      <c r="J267" s="39">
        <v>19000</v>
      </c>
      <c r="K267" s="22">
        <f t="shared" si="13"/>
        <v>950000</v>
      </c>
      <c r="L267" s="38" t="str">
        <f t="shared" si="14"/>
        <v/>
      </c>
      <c r="M267" s="37"/>
    </row>
    <row r="268" spans="1:13" x14ac:dyDescent="0.35">
      <c r="A268" s="44" t="str">
        <f t="shared" si="12"/>
        <v>June 2026</v>
      </c>
      <c r="B268" s="43">
        <v>46181</v>
      </c>
      <c r="C268" s="42" t="s">
        <v>250</v>
      </c>
      <c r="D268" s="42" t="s">
        <v>183</v>
      </c>
      <c r="E268" s="42" t="s">
        <v>141</v>
      </c>
      <c r="F268" s="42" t="s">
        <v>155</v>
      </c>
      <c r="G268" s="41">
        <v>50</v>
      </c>
      <c r="H268" s="41"/>
      <c r="I268" s="40">
        <f>IF(B268="","",IF(I267="",MASTER!$C$7,I267)+N(H268)-N(G268))</f>
        <v>12660</v>
      </c>
      <c r="J268" s="39">
        <v>19000</v>
      </c>
      <c r="K268" s="22">
        <f t="shared" si="13"/>
        <v>950000</v>
      </c>
      <c r="L268" s="38" t="str">
        <f t="shared" si="14"/>
        <v/>
      </c>
      <c r="M268" s="37"/>
    </row>
    <row r="269" spans="1:13" x14ac:dyDescent="0.35">
      <c r="A269" s="44" t="str">
        <f t="shared" si="12"/>
        <v>June 2026</v>
      </c>
      <c r="B269" s="43">
        <v>46181</v>
      </c>
      <c r="C269" s="42" t="s">
        <v>215</v>
      </c>
      <c r="D269" s="42" t="s">
        <v>249</v>
      </c>
      <c r="E269" s="42" t="s">
        <v>141</v>
      </c>
      <c r="F269" s="42" t="s">
        <v>155</v>
      </c>
      <c r="G269" s="41">
        <v>50</v>
      </c>
      <c r="H269" s="41"/>
      <c r="I269" s="40">
        <f>IF(B269="","",IF(I268="",MASTER!$C$7,I268)+N(H269)-N(G269))</f>
        <v>12610</v>
      </c>
      <c r="J269" s="39">
        <v>19000</v>
      </c>
      <c r="K269" s="22">
        <f t="shared" si="13"/>
        <v>950000</v>
      </c>
      <c r="L269" s="38" t="str">
        <f t="shared" si="14"/>
        <v/>
      </c>
      <c r="M269" s="37"/>
    </row>
    <row r="270" spans="1:13" x14ac:dyDescent="0.35">
      <c r="A270" s="44" t="str">
        <f t="shared" si="12"/>
        <v>June 2026</v>
      </c>
      <c r="B270" s="43">
        <v>46181</v>
      </c>
      <c r="C270" s="42" t="s">
        <v>110</v>
      </c>
      <c r="D270" s="42" t="s">
        <v>248</v>
      </c>
      <c r="E270" s="42" t="s">
        <v>141</v>
      </c>
      <c r="F270" s="42" t="s">
        <v>155</v>
      </c>
      <c r="G270" s="41">
        <v>50</v>
      </c>
      <c r="H270" s="41"/>
      <c r="I270" s="40">
        <f>IF(B270="","",IF(I269="",MASTER!$C$7,I269)+N(H270)-N(G270))</f>
        <v>12560</v>
      </c>
      <c r="J270" s="39">
        <v>19000</v>
      </c>
      <c r="K270" s="22">
        <f t="shared" si="13"/>
        <v>950000</v>
      </c>
      <c r="L270" s="38" t="str">
        <f t="shared" si="14"/>
        <v/>
      </c>
      <c r="M270" s="37"/>
    </row>
    <row r="271" spans="1:13" x14ac:dyDescent="0.35">
      <c r="A271" s="44" t="str">
        <f t="shared" si="12"/>
        <v>June 2026</v>
      </c>
      <c r="B271" s="43">
        <v>46181</v>
      </c>
      <c r="C271" s="42" t="s">
        <v>247</v>
      </c>
      <c r="D271" s="42" t="s">
        <v>246</v>
      </c>
      <c r="E271" s="42" t="s">
        <v>141</v>
      </c>
      <c r="F271" s="42" t="s">
        <v>245</v>
      </c>
      <c r="G271" s="41">
        <v>100</v>
      </c>
      <c r="H271" s="41"/>
      <c r="I271" s="40">
        <f>IF(B271="","",IF(I270="",MASTER!$C$7,I270)+N(H271)-N(G271))</f>
        <v>12460</v>
      </c>
      <c r="J271" s="39">
        <v>19000</v>
      </c>
      <c r="K271" s="22">
        <f t="shared" si="13"/>
        <v>1900000</v>
      </c>
      <c r="L271" s="38" t="str">
        <f t="shared" si="14"/>
        <v/>
      </c>
      <c r="M271" s="37"/>
    </row>
    <row r="272" spans="1:13" x14ac:dyDescent="0.35">
      <c r="A272" s="44" t="str">
        <f t="shared" si="12"/>
        <v>June 2026</v>
      </c>
      <c r="B272" s="43">
        <v>46181</v>
      </c>
      <c r="C272" s="42" t="s">
        <v>195</v>
      </c>
      <c r="D272" s="42" t="s">
        <v>244</v>
      </c>
      <c r="E272" s="42" t="s">
        <v>141</v>
      </c>
      <c r="F272" s="42" t="s">
        <v>166</v>
      </c>
      <c r="G272" s="41">
        <v>80</v>
      </c>
      <c r="H272" s="41"/>
      <c r="I272" s="40">
        <f>IF(B272="","",IF(I271="",MASTER!$C$7,I271)+N(H272)-N(G272))</f>
        <v>12380</v>
      </c>
      <c r="J272" s="39">
        <v>19000</v>
      </c>
      <c r="K272" s="22">
        <f t="shared" si="13"/>
        <v>1520000</v>
      </c>
      <c r="L272" s="38" t="str">
        <f t="shared" si="14"/>
        <v/>
      </c>
      <c r="M272" s="37"/>
    </row>
    <row r="273" spans="1:13" x14ac:dyDescent="0.35">
      <c r="A273" s="44" t="str">
        <f t="shared" si="12"/>
        <v>June 2026</v>
      </c>
      <c r="B273" s="43">
        <v>46181</v>
      </c>
      <c r="C273" s="42" t="s">
        <v>159</v>
      </c>
      <c r="D273" s="42" t="s">
        <v>41</v>
      </c>
      <c r="E273" s="42" t="s">
        <v>158</v>
      </c>
      <c r="F273" s="42" t="s">
        <v>157</v>
      </c>
      <c r="G273" s="41">
        <v>100</v>
      </c>
      <c r="H273" s="41"/>
      <c r="I273" s="40">
        <f>IF(B273="","",IF(I272="",MASTER!$C$7,I272)+N(H273)-N(G273))</f>
        <v>12280</v>
      </c>
      <c r="J273" s="39">
        <v>19000</v>
      </c>
      <c r="K273" s="22">
        <f t="shared" si="13"/>
        <v>1900000</v>
      </c>
      <c r="L273" s="38" t="str">
        <f t="shared" si="14"/>
        <v/>
      </c>
      <c r="M273" s="37"/>
    </row>
    <row r="274" spans="1:13" x14ac:dyDescent="0.35">
      <c r="A274" s="44" t="str">
        <f t="shared" si="12"/>
        <v>June 2026</v>
      </c>
      <c r="B274" s="43">
        <v>46181</v>
      </c>
      <c r="C274" s="42" t="s">
        <v>168</v>
      </c>
      <c r="D274" s="42" t="s">
        <v>167</v>
      </c>
      <c r="E274" s="42" t="s">
        <v>54</v>
      </c>
      <c r="F274" s="42" t="s">
        <v>166</v>
      </c>
      <c r="G274" s="41">
        <v>200</v>
      </c>
      <c r="H274" s="41"/>
      <c r="I274" s="40">
        <f>IF(B274="","",IF(I273="",MASTER!$C$7,I273)+N(H274)-N(G274))</f>
        <v>12080</v>
      </c>
      <c r="J274" s="39">
        <v>19000</v>
      </c>
      <c r="K274" s="22">
        <f t="shared" si="13"/>
        <v>3800000</v>
      </c>
      <c r="L274" s="38" t="str">
        <f t="shared" si="14"/>
        <v/>
      </c>
      <c r="M274" s="37"/>
    </row>
    <row r="275" spans="1:13" x14ac:dyDescent="0.35">
      <c r="A275" s="44" t="str">
        <f t="shared" si="12"/>
        <v>June 2026</v>
      </c>
      <c r="B275" s="43">
        <v>46181</v>
      </c>
      <c r="C275" s="42" t="s">
        <v>51</v>
      </c>
      <c r="D275" s="42" t="s">
        <v>156</v>
      </c>
      <c r="E275" s="42" t="s">
        <v>54</v>
      </c>
      <c r="F275" s="42" t="s">
        <v>155</v>
      </c>
      <c r="G275" s="41">
        <v>150</v>
      </c>
      <c r="H275" s="41"/>
      <c r="I275" s="40">
        <f>IF(B275="","",IF(I274="",MASTER!$C$7,I274)+N(H275)-N(G275))</f>
        <v>11930</v>
      </c>
      <c r="J275" s="39">
        <v>19000</v>
      </c>
      <c r="K275" s="22">
        <f t="shared" si="13"/>
        <v>2850000</v>
      </c>
      <c r="L275" s="38" t="str">
        <f t="shared" si="14"/>
        <v/>
      </c>
      <c r="M275" s="37"/>
    </row>
    <row r="276" spans="1:13" x14ac:dyDescent="0.35">
      <c r="A276" s="44" t="str">
        <f t="shared" si="12"/>
        <v>June 2026</v>
      </c>
      <c r="B276" s="43">
        <v>46181</v>
      </c>
      <c r="C276" s="42" t="s">
        <v>197</v>
      </c>
      <c r="D276" s="42" t="s">
        <v>196</v>
      </c>
      <c r="E276" s="42" t="s">
        <v>54</v>
      </c>
      <c r="F276" s="42" t="s">
        <v>166</v>
      </c>
      <c r="G276" s="41">
        <v>100</v>
      </c>
      <c r="H276" s="41"/>
      <c r="I276" s="40">
        <f>IF(B276="","",IF(I275="",MASTER!$C$7,I275)+N(H276)-N(G276))</f>
        <v>11830</v>
      </c>
      <c r="J276" s="39">
        <v>19000</v>
      </c>
      <c r="K276" s="22">
        <f t="shared" si="13"/>
        <v>1900000</v>
      </c>
      <c r="L276" s="38" t="str">
        <f t="shared" si="14"/>
        <v/>
      </c>
      <c r="M276" s="37"/>
    </row>
    <row r="277" spans="1:13" x14ac:dyDescent="0.35">
      <c r="A277" s="44" t="str">
        <f t="shared" si="12"/>
        <v>June 2026</v>
      </c>
      <c r="B277" s="43">
        <v>46181</v>
      </c>
      <c r="C277" s="42" t="s">
        <v>199</v>
      </c>
      <c r="D277" s="42" t="s">
        <v>198</v>
      </c>
      <c r="E277" s="42" t="s">
        <v>54</v>
      </c>
      <c r="F277" s="42" t="s">
        <v>166</v>
      </c>
      <c r="G277" s="41">
        <v>150</v>
      </c>
      <c r="H277" s="41"/>
      <c r="I277" s="40">
        <f>IF(B277="","",IF(I276="",MASTER!$C$7,I276)+N(H277)-N(G277))</f>
        <v>11680</v>
      </c>
      <c r="J277" s="39">
        <v>19000</v>
      </c>
      <c r="K277" s="22">
        <f t="shared" si="13"/>
        <v>2850000</v>
      </c>
      <c r="L277" s="38" t="str">
        <f t="shared" si="14"/>
        <v/>
      </c>
      <c r="M277" s="37"/>
    </row>
    <row r="278" spans="1:13" x14ac:dyDescent="0.35">
      <c r="A278" s="44" t="str">
        <f t="shared" si="12"/>
        <v>June 2026</v>
      </c>
      <c r="B278" s="43">
        <v>46181</v>
      </c>
      <c r="C278" s="42" t="s">
        <v>146</v>
      </c>
      <c r="D278" s="42" t="s">
        <v>91</v>
      </c>
      <c r="E278" s="42" t="s">
        <v>54</v>
      </c>
      <c r="F278" s="42" t="s">
        <v>44</v>
      </c>
      <c r="G278" s="41">
        <v>100</v>
      </c>
      <c r="H278" s="41"/>
      <c r="I278" s="40">
        <f>IF(B278="","",IF(I277="",MASTER!$C$7,I277)+N(H278)-N(G278))</f>
        <v>11580</v>
      </c>
      <c r="J278" s="39">
        <v>19000</v>
      </c>
      <c r="K278" s="22">
        <f t="shared" si="13"/>
        <v>1900000</v>
      </c>
      <c r="L278" s="38" t="str">
        <f t="shared" si="14"/>
        <v/>
      </c>
      <c r="M278" s="37"/>
    </row>
    <row r="279" spans="1:13" x14ac:dyDescent="0.35">
      <c r="A279" s="44" t="str">
        <f t="shared" si="12"/>
        <v>June 2026</v>
      </c>
      <c r="B279" s="43">
        <v>46181</v>
      </c>
      <c r="C279" s="42" t="s">
        <v>148</v>
      </c>
      <c r="D279" s="42" t="s">
        <v>91</v>
      </c>
      <c r="E279" s="42" t="s">
        <v>54</v>
      </c>
      <c r="F279" s="42" t="s">
        <v>44</v>
      </c>
      <c r="G279" s="41">
        <v>100</v>
      </c>
      <c r="H279" s="41"/>
      <c r="I279" s="40">
        <f>IF(B279="","",IF(I278="",MASTER!$C$7,I278)+N(H279)-N(G279))</f>
        <v>11480</v>
      </c>
      <c r="J279" s="39">
        <v>19000</v>
      </c>
      <c r="K279" s="22">
        <f t="shared" si="13"/>
        <v>1900000</v>
      </c>
      <c r="L279" s="38" t="str">
        <f t="shared" si="14"/>
        <v/>
      </c>
      <c r="M279" s="37"/>
    </row>
    <row r="280" spans="1:13" x14ac:dyDescent="0.35">
      <c r="A280" s="44" t="str">
        <f t="shared" si="12"/>
        <v>June 2026</v>
      </c>
      <c r="B280" s="43">
        <v>46181</v>
      </c>
      <c r="C280" s="42" t="s">
        <v>134</v>
      </c>
      <c r="D280" s="42" t="s">
        <v>91</v>
      </c>
      <c r="E280" s="42" t="s">
        <v>54</v>
      </c>
      <c r="F280" s="42" t="s">
        <v>44</v>
      </c>
      <c r="G280" s="41">
        <v>100</v>
      </c>
      <c r="H280" s="41"/>
      <c r="I280" s="40">
        <f>IF(B280="","",IF(I279="",MASTER!$C$7,I279)+N(H280)-N(G280))</f>
        <v>11380</v>
      </c>
      <c r="J280" s="39">
        <v>19000</v>
      </c>
      <c r="K280" s="22">
        <f t="shared" si="13"/>
        <v>1900000</v>
      </c>
      <c r="L280" s="38" t="str">
        <f t="shared" si="14"/>
        <v/>
      </c>
      <c r="M280" s="37"/>
    </row>
    <row r="281" spans="1:13" x14ac:dyDescent="0.35">
      <c r="A281" s="44" t="str">
        <f t="shared" si="12"/>
        <v>June 2026</v>
      </c>
      <c r="B281" s="43">
        <v>46182</v>
      </c>
      <c r="C281" s="42" t="s">
        <v>243</v>
      </c>
      <c r="D281" s="42" t="s">
        <v>242</v>
      </c>
      <c r="E281" s="42" t="s">
        <v>141</v>
      </c>
      <c r="F281" s="42" t="s">
        <v>209</v>
      </c>
      <c r="G281" s="41">
        <v>100</v>
      </c>
      <c r="H281" s="41"/>
      <c r="I281" s="40">
        <f>IF(B281="","",IF(I280="",MASTER!$C$7,I280)+N(H281)-N(G281))</f>
        <v>11280</v>
      </c>
      <c r="J281" s="39">
        <v>19000</v>
      </c>
      <c r="K281" s="22">
        <f t="shared" si="13"/>
        <v>1900000</v>
      </c>
      <c r="L281" s="38" t="str">
        <f t="shared" si="14"/>
        <v/>
      </c>
      <c r="M281" s="37"/>
    </row>
    <row r="282" spans="1:13" x14ac:dyDescent="0.35">
      <c r="A282" s="44" t="str">
        <f t="shared" si="12"/>
        <v>June 2026</v>
      </c>
      <c r="B282" s="43">
        <v>46182</v>
      </c>
      <c r="C282" s="42" t="s">
        <v>108</v>
      </c>
      <c r="D282" s="42" t="s">
        <v>241</v>
      </c>
      <c r="E282" s="42" t="s">
        <v>54</v>
      </c>
      <c r="F282" s="42" t="s">
        <v>44</v>
      </c>
      <c r="G282" s="41">
        <v>50</v>
      </c>
      <c r="H282" s="41"/>
      <c r="I282" s="40">
        <f>IF(B282="","",IF(I281="",MASTER!$C$7,I281)+N(H282)-N(G282))</f>
        <v>11230</v>
      </c>
      <c r="J282" s="39">
        <v>19000</v>
      </c>
      <c r="K282" s="22">
        <f t="shared" si="13"/>
        <v>950000</v>
      </c>
      <c r="L282" s="38" t="str">
        <f t="shared" si="14"/>
        <v/>
      </c>
      <c r="M282" s="37"/>
    </row>
    <row r="283" spans="1:13" x14ac:dyDescent="0.35">
      <c r="A283" s="44" t="str">
        <f t="shared" si="12"/>
        <v>June 2026</v>
      </c>
      <c r="B283" s="43">
        <v>46182</v>
      </c>
      <c r="C283" s="42" t="s">
        <v>108</v>
      </c>
      <c r="D283" s="42" t="s">
        <v>240</v>
      </c>
      <c r="E283" s="42" t="s">
        <v>54</v>
      </c>
      <c r="F283" s="42" t="s">
        <v>44</v>
      </c>
      <c r="G283" s="41">
        <v>50</v>
      </c>
      <c r="H283" s="41"/>
      <c r="I283" s="40">
        <f>IF(B283="","",IF(I282="",MASTER!$C$7,I282)+N(H283)-N(G283))</f>
        <v>11180</v>
      </c>
      <c r="J283" s="39">
        <v>19000</v>
      </c>
      <c r="K283" s="22">
        <f t="shared" si="13"/>
        <v>950000</v>
      </c>
      <c r="L283" s="38" t="str">
        <f t="shared" si="14"/>
        <v/>
      </c>
      <c r="M283" s="37"/>
    </row>
    <row r="284" spans="1:13" x14ac:dyDescent="0.35">
      <c r="A284" s="44" t="str">
        <f t="shared" si="12"/>
        <v>June 2026</v>
      </c>
      <c r="B284" s="43">
        <v>46182</v>
      </c>
      <c r="C284" s="42" t="s">
        <v>108</v>
      </c>
      <c r="D284" s="42" t="s">
        <v>239</v>
      </c>
      <c r="E284" s="42" t="s">
        <v>54</v>
      </c>
      <c r="F284" s="42" t="s">
        <v>44</v>
      </c>
      <c r="G284" s="41">
        <v>50</v>
      </c>
      <c r="H284" s="41"/>
      <c r="I284" s="40">
        <f>IF(B284="","",IF(I283="",MASTER!$C$7,I283)+N(H284)-N(G284))</f>
        <v>11130</v>
      </c>
      <c r="J284" s="39">
        <v>19000</v>
      </c>
      <c r="K284" s="22">
        <f t="shared" si="13"/>
        <v>950000</v>
      </c>
      <c r="L284" s="38" t="str">
        <f t="shared" si="14"/>
        <v/>
      </c>
      <c r="M284" s="37"/>
    </row>
    <row r="285" spans="1:13" x14ac:dyDescent="0.35">
      <c r="A285" s="44" t="str">
        <f t="shared" si="12"/>
        <v>June 2026</v>
      </c>
      <c r="B285" s="43">
        <v>46182</v>
      </c>
      <c r="C285" s="42" t="s">
        <v>110</v>
      </c>
      <c r="D285" s="42" t="s">
        <v>238</v>
      </c>
      <c r="E285" s="42" t="s">
        <v>54</v>
      </c>
      <c r="F285" s="42" t="s">
        <v>44</v>
      </c>
      <c r="G285" s="41">
        <v>100</v>
      </c>
      <c r="H285" s="41"/>
      <c r="I285" s="40">
        <f>IF(B285="","",IF(I284="",MASTER!$C$7,I284)+N(H285)-N(G285))</f>
        <v>11030</v>
      </c>
      <c r="J285" s="39">
        <v>19000</v>
      </c>
      <c r="K285" s="22">
        <f t="shared" si="13"/>
        <v>1900000</v>
      </c>
      <c r="L285" s="38" t="str">
        <f t="shared" si="14"/>
        <v/>
      </c>
      <c r="M285" s="37"/>
    </row>
    <row r="286" spans="1:13" x14ac:dyDescent="0.35">
      <c r="A286" s="44" t="str">
        <f t="shared" si="12"/>
        <v>June 2026</v>
      </c>
      <c r="B286" s="43">
        <v>46182</v>
      </c>
      <c r="C286" s="42" t="s">
        <v>148</v>
      </c>
      <c r="D286" s="42" t="s">
        <v>91</v>
      </c>
      <c r="E286" s="42" t="s">
        <v>54</v>
      </c>
      <c r="F286" s="42" t="s">
        <v>44</v>
      </c>
      <c r="G286" s="41">
        <v>200</v>
      </c>
      <c r="H286" s="41"/>
      <c r="I286" s="40">
        <f>IF(B286="","",IF(I285="",MASTER!$C$7,I285)+N(H286)-N(G286))</f>
        <v>10830</v>
      </c>
      <c r="J286" s="39">
        <v>19000</v>
      </c>
      <c r="K286" s="22">
        <f t="shared" si="13"/>
        <v>3800000</v>
      </c>
      <c r="L286" s="38" t="str">
        <f t="shared" si="14"/>
        <v/>
      </c>
      <c r="M286" s="37"/>
    </row>
    <row r="287" spans="1:13" x14ac:dyDescent="0.35">
      <c r="A287" s="44" t="str">
        <f t="shared" si="12"/>
        <v>June 2026</v>
      </c>
      <c r="B287" s="43">
        <v>46182</v>
      </c>
      <c r="C287" s="42" t="s">
        <v>147</v>
      </c>
      <c r="D287" s="42" t="s">
        <v>91</v>
      </c>
      <c r="E287" s="42" t="s">
        <v>54</v>
      </c>
      <c r="F287" s="42" t="s">
        <v>44</v>
      </c>
      <c r="G287" s="41">
        <v>200</v>
      </c>
      <c r="H287" s="41"/>
      <c r="I287" s="40">
        <f>IF(B287="","",IF(I286="",MASTER!$C$7,I286)+N(H287)-N(G287))</f>
        <v>10630</v>
      </c>
      <c r="J287" s="39">
        <v>19000</v>
      </c>
      <c r="K287" s="22">
        <f t="shared" si="13"/>
        <v>3800000</v>
      </c>
      <c r="L287" s="38" t="str">
        <f t="shared" si="14"/>
        <v/>
      </c>
      <c r="M287" s="37"/>
    </row>
    <row r="288" spans="1:13" x14ac:dyDescent="0.35">
      <c r="A288" s="44" t="str">
        <f t="shared" si="12"/>
        <v>June 2026</v>
      </c>
      <c r="B288" s="43">
        <v>46182</v>
      </c>
      <c r="C288" s="42" t="s">
        <v>146</v>
      </c>
      <c r="D288" s="42" t="s">
        <v>91</v>
      </c>
      <c r="E288" s="42" t="s">
        <v>54</v>
      </c>
      <c r="F288" s="42" t="s">
        <v>44</v>
      </c>
      <c r="G288" s="41">
        <v>100</v>
      </c>
      <c r="H288" s="41"/>
      <c r="I288" s="40">
        <f>IF(B288="","",IF(I287="",MASTER!$C$7,I287)+N(H288)-N(G288))</f>
        <v>10530</v>
      </c>
      <c r="J288" s="39">
        <v>19000</v>
      </c>
      <c r="K288" s="22">
        <f t="shared" si="13"/>
        <v>1900000</v>
      </c>
      <c r="L288" s="38" t="str">
        <f t="shared" si="14"/>
        <v/>
      </c>
      <c r="M288" s="37"/>
    </row>
    <row r="289" spans="1:13" x14ac:dyDescent="0.35">
      <c r="A289" s="44" t="str">
        <f t="shared" si="12"/>
        <v>June 2026</v>
      </c>
      <c r="B289" s="43">
        <v>46182</v>
      </c>
      <c r="C289" s="42" t="s">
        <v>133</v>
      </c>
      <c r="D289" s="42" t="s">
        <v>91</v>
      </c>
      <c r="E289" s="42" t="s">
        <v>54</v>
      </c>
      <c r="F289" s="42" t="s">
        <v>44</v>
      </c>
      <c r="G289" s="41">
        <v>200</v>
      </c>
      <c r="H289" s="41"/>
      <c r="I289" s="40">
        <f>IF(B289="","",IF(I288="",MASTER!$C$7,I288)+N(H289)-N(G289))</f>
        <v>10330</v>
      </c>
      <c r="J289" s="39">
        <v>19000</v>
      </c>
      <c r="K289" s="22">
        <f t="shared" si="13"/>
        <v>3800000</v>
      </c>
      <c r="L289" s="38" t="str">
        <f t="shared" si="14"/>
        <v/>
      </c>
      <c r="M289" s="37"/>
    </row>
    <row r="290" spans="1:13" x14ac:dyDescent="0.35">
      <c r="A290" s="44" t="str">
        <f t="shared" si="12"/>
        <v>June 2026</v>
      </c>
      <c r="B290" s="43">
        <v>46182</v>
      </c>
      <c r="C290" s="42" t="s">
        <v>134</v>
      </c>
      <c r="D290" s="42" t="s">
        <v>91</v>
      </c>
      <c r="E290" s="42" t="s">
        <v>54</v>
      </c>
      <c r="F290" s="42" t="s">
        <v>44</v>
      </c>
      <c r="G290" s="41">
        <v>100</v>
      </c>
      <c r="H290" s="41"/>
      <c r="I290" s="40">
        <f>IF(B290="","",IF(I289="",MASTER!$C$7,I289)+N(H290)-N(G290))</f>
        <v>10230</v>
      </c>
      <c r="J290" s="39">
        <v>19000</v>
      </c>
      <c r="K290" s="22">
        <f t="shared" si="13"/>
        <v>1900000</v>
      </c>
      <c r="L290" s="38" t="str">
        <f t="shared" si="14"/>
        <v/>
      </c>
      <c r="M290" s="37"/>
    </row>
    <row r="291" spans="1:13" x14ac:dyDescent="0.35">
      <c r="A291" s="44" t="str">
        <f t="shared" si="12"/>
        <v>June 2026</v>
      </c>
      <c r="B291" s="43">
        <v>46182</v>
      </c>
      <c r="C291" s="42" t="s">
        <v>197</v>
      </c>
      <c r="D291" s="42" t="s">
        <v>196</v>
      </c>
      <c r="E291" s="42" t="s">
        <v>54</v>
      </c>
      <c r="F291" s="42" t="s">
        <v>166</v>
      </c>
      <c r="G291" s="41">
        <v>200</v>
      </c>
      <c r="H291" s="41"/>
      <c r="I291" s="40">
        <f>IF(B291="","",IF(I290="",MASTER!$C$7,I290)+N(H291)-N(G291))</f>
        <v>10030</v>
      </c>
      <c r="J291" s="39">
        <v>19000</v>
      </c>
      <c r="K291" s="22">
        <f t="shared" si="13"/>
        <v>3800000</v>
      </c>
      <c r="L291" s="38" t="str">
        <f t="shared" si="14"/>
        <v/>
      </c>
      <c r="M291" s="37"/>
    </row>
    <row r="292" spans="1:13" x14ac:dyDescent="0.35">
      <c r="A292" s="44" t="str">
        <f t="shared" si="12"/>
        <v>June 2026</v>
      </c>
      <c r="B292" s="43">
        <v>46182</v>
      </c>
      <c r="C292" s="42" t="s">
        <v>237</v>
      </c>
      <c r="D292" s="42" t="s">
        <v>200</v>
      </c>
      <c r="E292" s="42" t="s">
        <v>54</v>
      </c>
      <c r="F292" s="42" t="s">
        <v>166</v>
      </c>
      <c r="G292" s="41">
        <v>100</v>
      </c>
      <c r="H292" s="41"/>
      <c r="I292" s="40">
        <f>IF(B292="","",IF(I291="",MASTER!$C$7,I291)+N(H292)-N(G292))</f>
        <v>9930</v>
      </c>
      <c r="J292" s="39">
        <v>19000</v>
      </c>
      <c r="K292" s="22">
        <f t="shared" si="13"/>
        <v>1900000</v>
      </c>
      <c r="L292" s="38" t="str">
        <f t="shared" si="14"/>
        <v/>
      </c>
      <c r="M292" s="37"/>
    </row>
    <row r="293" spans="1:13" x14ac:dyDescent="0.35">
      <c r="A293" s="44" t="str">
        <f t="shared" si="12"/>
        <v>June 2026</v>
      </c>
      <c r="B293" s="43">
        <v>46182</v>
      </c>
      <c r="C293" s="42" t="s">
        <v>174</v>
      </c>
      <c r="D293" s="42" t="s">
        <v>173</v>
      </c>
      <c r="E293" s="42" t="s">
        <v>54</v>
      </c>
      <c r="F293" s="42" t="s">
        <v>166</v>
      </c>
      <c r="G293" s="41">
        <v>200</v>
      </c>
      <c r="H293" s="41"/>
      <c r="I293" s="40">
        <f>IF(B293="","",IF(I292="",MASTER!$C$7,I292)+N(H293)-N(G293))</f>
        <v>9730</v>
      </c>
      <c r="J293" s="39">
        <v>19000</v>
      </c>
      <c r="K293" s="22">
        <f t="shared" si="13"/>
        <v>3800000</v>
      </c>
      <c r="L293" s="38" t="str">
        <f t="shared" si="14"/>
        <v/>
      </c>
      <c r="M293" s="37"/>
    </row>
    <row r="294" spans="1:13" x14ac:dyDescent="0.35">
      <c r="A294" s="44" t="str">
        <f t="shared" si="12"/>
        <v>June 2026</v>
      </c>
      <c r="B294" s="43">
        <v>46182</v>
      </c>
      <c r="C294" s="42" t="s">
        <v>172</v>
      </c>
      <c r="D294" s="42" t="s">
        <v>171</v>
      </c>
      <c r="E294" s="42" t="s">
        <v>54</v>
      </c>
      <c r="F294" s="42" t="s">
        <v>166</v>
      </c>
      <c r="G294" s="41">
        <v>80</v>
      </c>
      <c r="H294" s="41"/>
      <c r="I294" s="40">
        <f>IF(B294="","",IF(I293="",MASTER!$C$7,I293)+N(H294)-N(G294))</f>
        <v>9650</v>
      </c>
      <c r="J294" s="39">
        <v>19000</v>
      </c>
      <c r="K294" s="22">
        <f t="shared" si="13"/>
        <v>1520000</v>
      </c>
      <c r="L294" s="38" t="str">
        <f t="shared" si="14"/>
        <v/>
      </c>
      <c r="M294" s="37"/>
    </row>
    <row r="295" spans="1:13" x14ac:dyDescent="0.35">
      <c r="A295" s="44" t="str">
        <f t="shared" si="12"/>
        <v>June 2026</v>
      </c>
      <c r="B295" s="43">
        <v>46182</v>
      </c>
      <c r="C295" s="42" t="s">
        <v>192</v>
      </c>
      <c r="D295" s="42" t="s">
        <v>191</v>
      </c>
      <c r="E295" s="42" t="s">
        <v>141</v>
      </c>
      <c r="F295" s="42" t="s">
        <v>166</v>
      </c>
      <c r="G295" s="41">
        <v>80</v>
      </c>
      <c r="H295" s="41"/>
      <c r="I295" s="40">
        <f>IF(B295="","",IF(I294="",MASTER!$C$7,I294)+N(H295)-N(G295))</f>
        <v>9570</v>
      </c>
      <c r="J295" s="39">
        <v>19000</v>
      </c>
      <c r="K295" s="22">
        <f t="shared" si="13"/>
        <v>1520000</v>
      </c>
      <c r="L295" s="38" t="str">
        <f t="shared" si="14"/>
        <v/>
      </c>
      <c r="M295" s="37"/>
    </row>
    <row r="296" spans="1:13" x14ac:dyDescent="0.35">
      <c r="A296" s="44" t="str">
        <f t="shared" si="12"/>
        <v>June 2026</v>
      </c>
      <c r="B296" s="43">
        <v>46182</v>
      </c>
      <c r="C296" s="42" t="s">
        <v>170</v>
      </c>
      <c r="D296" s="42" t="s">
        <v>169</v>
      </c>
      <c r="E296" s="42" t="s">
        <v>54</v>
      </c>
      <c r="F296" s="42" t="s">
        <v>166</v>
      </c>
      <c r="G296" s="41">
        <v>200</v>
      </c>
      <c r="H296" s="41"/>
      <c r="I296" s="40">
        <f>IF(B296="","",IF(I295="",MASTER!$C$7,I295)+N(H296)-N(G296))</f>
        <v>9370</v>
      </c>
      <c r="J296" s="39">
        <v>19000</v>
      </c>
      <c r="K296" s="22">
        <f t="shared" si="13"/>
        <v>3800000</v>
      </c>
      <c r="L296" s="38" t="str">
        <f t="shared" si="14"/>
        <v/>
      </c>
      <c r="M296" s="37"/>
    </row>
    <row r="297" spans="1:13" x14ac:dyDescent="0.35">
      <c r="A297" s="44" t="str">
        <f t="shared" si="12"/>
        <v>June 2026</v>
      </c>
      <c r="B297" s="43">
        <v>46182</v>
      </c>
      <c r="C297" s="42" t="s">
        <v>51</v>
      </c>
      <c r="D297" s="42" t="s">
        <v>156</v>
      </c>
      <c r="E297" s="42" t="s">
        <v>54</v>
      </c>
      <c r="F297" s="42" t="s">
        <v>155</v>
      </c>
      <c r="G297" s="41">
        <v>200</v>
      </c>
      <c r="H297" s="41"/>
      <c r="I297" s="40">
        <f>IF(B297="","",IF(I296="",MASTER!$C$7,I296)+N(H297)-N(G297))</f>
        <v>9170</v>
      </c>
      <c r="J297" s="39">
        <v>19000</v>
      </c>
      <c r="K297" s="22">
        <f t="shared" si="13"/>
        <v>3800000</v>
      </c>
      <c r="L297" s="38" t="str">
        <f t="shared" si="14"/>
        <v/>
      </c>
      <c r="M297" s="37"/>
    </row>
    <row r="298" spans="1:13" x14ac:dyDescent="0.35">
      <c r="A298" s="44" t="str">
        <f t="shared" si="12"/>
        <v>June 2026</v>
      </c>
      <c r="B298" s="43">
        <v>46182</v>
      </c>
      <c r="C298" s="42" t="s">
        <v>168</v>
      </c>
      <c r="D298" s="42" t="s">
        <v>167</v>
      </c>
      <c r="E298" s="42" t="s">
        <v>54</v>
      </c>
      <c r="F298" s="42" t="s">
        <v>166</v>
      </c>
      <c r="G298" s="41">
        <v>100</v>
      </c>
      <c r="H298" s="41"/>
      <c r="I298" s="40">
        <f>IF(B298="","",IF(I297="",MASTER!$C$7,I297)+N(H298)-N(G298))</f>
        <v>9070</v>
      </c>
      <c r="J298" s="39">
        <v>19000</v>
      </c>
      <c r="K298" s="22">
        <f t="shared" si="13"/>
        <v>1900000</v>
      </c>
      <c r="L298" s="38" t="str">
        <f t="shared" si="14"/>
        <v/>
      </c>
      <c r="M298" s="37"/>
    </row>
    <row r="299" spans="1:13" x14ac:dyDescent="0.35">
      <c r="A299" s="44" t="str">
        <f t="shared" si="12"/>
        <v>June 2026</v>
      </c>
      <c r="B299" s="43">
        <v>46182</v>
      </c>
      <c r="C299" s="42" t="s">
        <v>237</v>
      </c>
      <c r="D299" s="42" t="s">
        <v>236</v>
      </c>
      <c r="E299" s="42" t="s">
        <v>54</v>
      </c>
      <c r="F299" s="42" t="s">
        <v>166</v>
      </c>
      <c r="G299" s="41">
        <v>100</v>
      </c>
      <c r="H299" s="41"/>
      <c r="I299" s="40">
        <f>IF(B299="","",IF(I298="",MASTER!$C$7,I298)+N(H299)-N(G299))</f>
        <v>8970</v>
      </c>
      <c r="J299" s="39">
        <v>19000</v>
      </c>
      <c r="K299" s="22">
        <f t="shared" si="13"/>
        <v>1900000</v>
      </c>
      <c r="L299" s="38" t="str">
        <f t="shared" si="14"/>
        <v/>
      </c>
      <c r="M299" s="37"/>
    </row>
    <row r="300" spans="1:13" x14ac:dyDescent="0.35">
      <c r="A300" s="44" t="str">
        <f t="shared" si="12"/>
        <v>June 2026</v>
      </c>
      <c r="B300" s="43">
        <v>46182</v>
      </c>
      <c r="C300" s="42" t="s">
        <v>235</v>
      </c>
      <c r="D300" s="42" t="s">
        <v>200</v>
      </c>
      <c r="E300" s="42" t="s">
        <v>54</v>
      </c>
      <c r="F300" s="42" t="s">
        <v>166</v>
      </c>
      <c r="G300" s="41">
        <v>150</v>
      </c>
      <c r="H300" s="41"/>
      <c r="I300" s="40">
        <f>IF(B300="","",IF(I299="",MASTER!$C$7,I299)+N(H300)-N(G300))</f>
        <v>8820</v>
      </c>
      <c r="J300" s="39">
        <v>19000</v>
      </c>
      <c r="K300" s="22">
        <f t="shared" si="13"/>
        <v>2850000</v>
      </c>
      <c r="L300" s="38" t="str">
        <f t="shared" si="14"/>
        <v/>
      </c>
      <c r="M300" s="37"/>
    </row>
    <row r="301" spans="1:13" x14ac:dyDescent="0.35">
      <c r="A301" s="44" t="str">
        <f t="shared" si="12"/>
        <v>June 2026</v>
      </c>
      <c r="B301" s="43">
        <v>46182</v>
      </c>
      <c r="C301" s="42" t="s">
        <v>159</v>
      </c>
      <c r="D301" s="42" t="s">
        <v>41</v>
      </c>
      <c r="E301" s="42" t="s">
        <v>158</v>
      </c>
      <c r="F301" s="42" t="s">
        <v>157</v>
      </c>
      <c r="G301" s="41">
        <v>100</v>
      </c>
      <c r="H301" s="41"/>
      <c r="I301" s="40">
        <f>IF(B301="","",IF(I300="",MASTER!$C$7,I300)+N(H301)-N(G301))</f>
        <v>8720</v>
      </c>
      <c r="J301" s="39">
        <v>19000</v>
      </c>
      <c r="K301" s="22">
        <f t="shared" si="13"/>
        <v>1900000</v>
      </c>
      <c r="L301" s="38" t="str">
        <f t="shared" si="14"/>
        <v/>
      </c>
      <c r="M301" s="37"/>
    </row>
    <row r="302" spans="1:13" x14ac:dyDescent="0.35">
      <c r="A302" s="44" t="str">
        <f t="shared" si="12"/>
        <v>June 2026</v>
      </c>
      <c r="B302" s="43">
        <v>46182</v>
      </c>
      <c r="C302" s="42" t="s">
        <v>199</v>
      </c>
      <c r="D302" s="42" t="s">
        <v>198</v>
      </c>
      <c r="E302" s="42" t="s">
        <v>54</v>
      </c>
      <c r="F302" s="42" t="s">
        <v>166</v>
      </c>
      <c r="G302" s="41">
        <v>100</v>
      </c>
      <c r="H302" s="41"/>
      <c r="I302" s="40">
        <f>IF(B302="","",IF(I301="",MASTER!$C$7,I301)+N(H302)-N(G302))</f>
        <v>8620</v>
      </c>
      <c r="J302" s="39">
        <v>19000</v>
      </c>
      <c r="K302" s="22">
        <f t="shared" si="13"/>
        <v>1900000</v>
      </c>
      <c r="L302" s="38" t="str">
        <f t="shared" si="14"/>
        <v/>
      </c>
      <c r="M302" s="37"/>
    </row>
    <row r="303" spans="1:13" x14ac:dyDescent="0.35">
      <c r="A303" s="44" t="str">
        <f t="shared" si="12"/>
        <v>June 2026</v>
      </c>
      <c r="B303" s="43">
        <v>46182</v>
      </c>
      <c r="C303" s="42" t="s">
        <v>234</v>
      </c>
      <c r="D303" s="42" t="s">
        <v>233</v>
      </c>
      <c r="E303" s="42" t="s">
        <v>54</v>
      </c>
      <c r="F303" s="42" t="s">
        <v>166</v>
      </c>
      <c r="G303" s="41">
        <v>100</v>
      </c>
      <c r="H303" s="41"/>
      <c r="I303" s="40">
        <f>IF(B303="","",IF(I302="",MASTER!$C$7,I302)+N(H303)-N(G303))</f>
        <v>8520</v>
      </c>
      <c r="J303" s="39">
        <v>19000</v>
      </c>
      <c r="K303" s="22">
        <f t="shared" si="13"/>
        <v>1900000</v>
      </c>
      <c r="L303" s="38" t="str">
        <f t="shared" si="14"/>
        <v/>
      </c>
      <c r="M303" s="37"/>
    </row>
    <row r="304" spans="1:13" x14ac:dyDescent="0.35">
      <c r="A304" s="44" t="str">
        <f t="shared" si="12"/>
        <v>June 2026</v>
      </c>
      <c r="B304" s="43">
        <v>46182</v>
      </c>
      <c r="C304" s="42" t="s">
        <v>152</v>
      </c>
      <c r="D304" s="42" t="s">
        <v>151</v>
      </c>
      <c r="E304" s="42" t="s">
        <v>141</v>
      </c>
      <c r="F304" s="42" t="s">
        <v>150</v>
      </c>
      <c r="G304" s="41">
        <v>70</v>
      </c>
      <c r="H304" s="41"/>
      <c r="I304" s="40">
        <f>IF(B304="","",IF(I303="",MASTER!$C$7,I303)+N(H304)-N(G304))</f>
        <v>8450</v>
      </c>
      <c r="J304" s="39">
        <v>19000</v>
      </c>
      <c r="K304" s="22">
        <f t="shared" si="13"/>
        <v>1330000</v>
      </c>
      <c r="L304" s="38" t="str">
        <f t="shared" si="14"/>
        <v/>
      </c>
      <c r="M304" s="37"/>
    </row>
    <row r="305" spans="1:13" x14ac:dyDescent="0.35">
      <c r="A305" s="44" t="str">
        <f t="shared" si="12"/>
        <v>June 2026</v>
      </c>
      <c r="B305" s="43">
        <v>46182</v>
      </c>
      <c r="C305" s="42" t="s">
        <v>232</v>
      </c>
      <c r="D305" s="42" t="s">
        <v>163</v>
      </c>
      <c r="E305" s="42" t="s">
        <v>141</v>
      </c>
      <c r="F305" s="42" t="s">
        <v>150</v>
      </c>
      <c r="G305" s="41">
        <v>70</v>
      </c>
      <c r="H305" s="41"/>
      <c r="I305" s="40">
        <f>IF(B305="","",IF(I304="",MASTER!$C$7,I304)+N(H305)-N(G305))</f>
        <v>8380</v>
      </c>
      <c r="J305" s="39">
        <v>19000</v>
      </c>
      <c r="K305" s="22">
        <f t="shared" si="13"/>
        <v>1330000</v>
      </c>
      <c r="L305" s="38" t="str">
        <f t="shared" si="14"/>
        <v/>
      </c>
      <c r="M305" s="37"/>
    </row>
    <row r="306" spans="1:13" x14ac:dyDescent="0.35">
      <c r="A306" s="44" t="str">
        <f t="shared" si="12"/>
        <v>June 2026</v>
      </c>
      <c r="B306" s="43">
        <v>46182</v>
      </c>
      <c r="C306" s="42" t="s">
        <v>231</v>
      </c>
      <c r="D306" s="42" t="s">
        <v>230</v>
      </c>
      <c r="E306" s="42" t="s">
        <v>141</v>
      </c>
      <c r="F306" s="42" t="s">
        <v>150</v>
      </c>
      <c r="G306" s="41">
        <v>70</v>
      </c>
      <c r="H306" s="41"/>
      <c r="I306" s="40">
        <f>IF(B306="","",IF(I305="",MASTER!$C$7,I305)+N(H306)-N(G306))</f>
        <v>8310</v>
      </c>
      <c r="J306" s="39">
        <v>19000</v>
      </c>
      <c r="K306" s="22">
        <f t="shared" si="13"/>
        <v>1330000</v>
      </c>
      <c r="L306" s="38" t="str">
        <f t="shared" si="14"/>
        <v/>
      </c>
      <c r="M306" s="37"/>
    </row>
    <row r="307" spans="1:13" x14ac:dyDescent="0.35">
      <c r="A307" s="44" t="str">
        <f t="shared" si="12"/>
        <v>June 2026</v>
      </c>
      <c r="B307" s="43">
        <v>46182</v>
      </c>
      <c r="C307" s="42" t="s">
        <v>229</v>
      </c>
      <c r="D307" s="42" t="s">
        <v>165</v>
      </c>
      <c r="E307" s="42" t="s">
        <v>141</v>
      </c>
      <c r="F307" s="42" t="s">
        <v>150</v>
      </c>
      <c r="G307" s="41">
        <v>70</v>
      </c>
      <c r="H307" s="41"/>
      <c r="I307" s="40">
        <f>IF(B307="","",IF(I306="",MASTER!$C$7,I306)+N(H307)-N(G307))</f>
        <v>8240</v>
      </c>
      <c r="J307" s="39">
        <v>19000</v>
      </c>
      <c r="K307" s="22">
        <f t="shared" si="13"/>
        <v>1330000</v>
      </c>
      <c r="L307" s="38" t="str">
        <f t="shared" si="14"/>
        <v/>
      </c>
      <c r="M307" s="37"/>
    </row>
    <row r="308" spans="1:13" x14ac:dyDescent="0.35">
      <c r="A308" s="44" t="str">
        <f t="shared" si="12"/>
        <v>June 2026</v>
      </c>
      <c r="B308" s="43">
        <v>46182</v>
      </c>
      <c r="C308" s="42" t="s">
        <v>49</v>
      </c>
      <c r="D308" s="42" t="s">
        <v>36</v>
      </c>
      <c r="E308" s="42" t="s">
        <v>141</v>
      </c>
      <c r="F308" s="42" t="s">
        <v>44</v>
      </c>
      <c r="G308" s="41">
        <v>200</v>
      </c>
      <c r="H308" s="41"/>
      <c r="I308" s="40">
        <f>IF(B308="","",IF(I307="",MASTER!$C$7,I307)+N(H308)-N(G308))</f>
        <v>8040</v>
      </c>
      <c r="J308" s="39">
        <v>19000</v>
      </c>
      <c r="K308" s="22">
        <f t="shared" si="13"/>
        <v>3800000</v>
      </c>
      <c r="L308" s="38" t="str">
        <f t="shared" si="14"/>
        <v/>
      </c>
      <c r="M308" s="37"/>
    </row>
    <row r="309" spans="1:13" x14ac:dyDescent="0.35">
      <c r="A309" s="44" t="str">
        <f t="shared" si="12"/>
        <v>June 2026</v>
      </c>
      <c r="B309" s="43">
        <v>46182</v>
      </c>
      <c r="C309" s="42" t="s">
        <v>228</v>
      </c>
      <c r="D309" s="42" t="s">
        <v>227</v>
      </c>
      <c r="E309" s="42" t="s">
        <v>141</v>
      </c>
      <c r="F309" s="42" t="s">
        <v>155</v>
      </c>
      <c r="G309" s="41">
        <v>50</v>
      </c>
      <c r="H309" s="41"/>
      <c r="I309" s="40">
        <f>IF(B309="","",IF(I308="",MASTER!$C$7,I308)+N(H309)-N(G309))</f>
        <v>7990</v>
      </c>
      <c r="J309" s="39">
        <v>19000</v>
      </c>
      <c r="K309" s="22">
        <f t="shared" si="13"/>
        <v>950000</v>
      </c>
      <c r="L309" s="38" t="str">
        <f t="shared" si="14"/>
        <v/>
      </c>
      <c r="M309" s="37"/>
    </row>
    <row r="310" spans="1:13" x14ac:dyDescent="0.35">
      <c r="A310" s="44" t="str">
        <f t="shared" si="12"/>
        <v>June 2026</v>
      </c>
      <c r="B310" s="43">
        <v>46182</v>
      </c>
      <c r="C310" s="42" t="s">
        <v>185</v>
      </c>
      <c r="D310" s="42" t="s">
        <v>226</v>
      </c>
      <c r="E310" s="42" t="s">
        <v>141</v>
      </c>
      <c r="F310" s="42" t="s">
        <v>155</v>
      </c>
      <c r="G310" s="41">
        <v>50</v>
      </c>
      <c r="H310" s="41"/>
      <c r="I310" s="40">
        <f>IF(B310="","",IF(I309="",MASTER!$C$7,I309)+N(H310)-N(G310))</f>
        <v>7940</v>
      </c>
      <c r="J310" s="39">
        <v>19000</v>
      </c>
      <c r="K310" s="22">
        <f t="shared" si="13"/>
        <v>950000</v>
      </c>
      <c r="L310" s="38" t="str">
        <f t="shared" si="14"/>
        <v/>
      </c>
      <c r="M310" s="37"/>
    </row>
    <row r="311" spans="1:13" x14ac:dyDescent="0.35">
      <c r="A311" s="44" t="str">
        <f t="shared" si="12"/>
        <v>June 2026</v>
      </c>
      <c r="B311" s="43">
        <v>46182</v>
      </c>
      <c r="C311" s="42" t="s">
        <v>225</v>
      </c>
      <c r="D311" s="42" t="s">
        <v>224</v>
      </c>
      <c r="E311" s="42" t="s">
        <v>141</v>
      </c>
      <c r="F311" s="42" t="s">
        <v>155</v>
      </c>
      <c r="G311" s="41">
        <v>50</v>
      </c>
      <c r="H311" s="41"/>
      <c r="I311" s="40">
        <f>IF(B311="","",IF(I310="",MASTER!$C$7,I310)+N(H311)-N(G311))</f>
        <v>7890</v>
      </c>
      <c r="J311" s="39">
        <v>19000</v>
      </c>
      <c r="K311" s="22">
        <f t="shared" si="13"/>
        <v>950000</v>
      </c>
      <c r="L311" s="38" t="str">
        <f t="shared" si="14"/>
        <v/>
      </c>
      <c r="M311" s="37"/>
    </row>
    <row r="312" spans="1:13" x14ac:dyDescent="0.35">
      <c r="A312" s="44" t="str">
        <f t="shared" si="12"/>
        <v>June 2026</v>
      </c>
      <c r="B312" s="43">
        <v>46182</v>
      </c>
      <c r="C312" s="42" t="s">
        <v>223</v>
      </c>
      <c r="D312" s="42" t="s">
        <v>222</v>
      </c>
      <c r="E312" s="42" t="s">
        <v>141</v>
      </c>
      <c r="F312" s="42" t="s">
        <v>155</v>
      </c>
      <c r="G312" s="41">
        <v>50</v>
      </c>
      <c r="H312" s="41"/>
      <c r="I312" s="40">
        <f>IF(B312="","",IF(I311="",MASTER!$C$7,I311)+N(H312)-N(G312))</f>
        <v>7840</v>
      </c>
      <c r="J312" s="39">
        <v>19000</v>
      </c>
      <c r="K312" s="22">
        <f t="shared" si="13"/>
        <v>950000</v>
      </c>
      <c r="L312" s="38" t="str">
        <f t="shared" si="14"/>
        <v/>
      </c>
      <c r="M312" s="37"/>
    </row>
    <row r="313" spans="1:13" x14ac:dyDescent="0.35">
      <c r="A313" s="44" t="str">
        <f t="shared" si="12"/>
        <v>June 2026</v>
      </c>
      <c r="B313" s="43">
        <v>46182</v>
      </c>
      <c r="C313" s="42" t="s">
        <v>184</v>
      </c>
      <c r="D313" s="42" t="s">
        <v>221</v>
      </c>
      <c r="E313" s="42" t="s">
        <v>141</v>
      </c>
      <c r="F313" s="42" t="s">
        <v>155</v>
      </c>
      <c r="G313" s="41">
        <v>50</v>
      </c>
      <c r="H313" s="41"/>
      <c r="I313" s="40">
        <f>IF(B313="","",IF(I312="",MASTER!$C$7,I312)+N(H313)-N(G313))</f>
        <v>7790</v>
      </c>
      <c r="J313" s="39">
        <v>19000</v>
      </c>
      <c r="K313" s="22">
        <f t="shared" si="13"/>
        <v>950000</v>
      </c>
      <c r="L313" s="38" t="str">
        <f t="shared" si="14"/>
        <v/>
      </c>
      <c r="M313" s="37"/>
    </row>
    <row r="314" spans="1:13" x14ac:dyDescent="0.35">
      <c r="A314" s="44" t="str">
        <f t="shared" si="12"/>
        <v>June 2026</v>
      </c>
      <c r="B314" s="43">
        <v>46182</v>
      </c>
      <c r="C314" s="42" t="s">
        <v>176</v>
      </c>
      <c r="D314" s="42" t="s">
        <v>220</v>
      </c>
      <c r="E314" s="42" t="s">
        <v>141</v>
      </c>
      <c r="F314" s="42" t="s">
        <v>155</v>
      </c>
      <c r="G314" s="41">
        <v>50</v>
      </c>
      <c r="H314" s="41"/>
      <c r="I314" s="40">
        <f>IF(B314="","",IF(I313="",MASTER!$C$7,I313)+N(H314)-N(G314))</f>
        <v>7740</v>
      </c>
      <c r="J314" s="39">
        <v>19000</v>
      </c>
      <c r="K314" s="22">
        <f t="shared" si="13"/>
        <v>950000</v>
      </c>
      <c r="L314" s="38" t="str">
        <f t="shared" si="14"/>
        <v/>
      </c>
      <c r="M314" s="37"/>
    </row>
    <row r="315" spans="1:13" x14ac:dyDescent="0.35">
      <c r="A315" s="44" t="str">
        <f t="shared" si="12"/>
        <v>June 2026</v>
      </c>
      <c r="B315" s="43">
        <v>46182</v>
      </c>
      <c r="C315" s="42" t="s">
        <v>219</v>
      </c>
      <c r="D315" s="42" t="s">
        <v>218</v>
      </c>
      <c r="E315" s="42" t="s">
        <v>141</v>
      </c>
      <c r="F315" s="42" t="s">
        <v>155</v>
      </c>
      <c r="G315" s="41">
        <v>50</v>
      </c>
      <c r="H315" s="41"/>
      <c r="I315" s="40">
        <f>IF(B315="","",IF(I314="",MASTER!$C$7,I314)+N(H315)-N(G315))</f>
        <v>7690</v>
      </c>
      <c r="J315" s="39">
        <v>19000</v>
      </c>
      <c r="K315" s="22">
        <f t="shared" si="13"/>
        <v>950000</v>
      </c>
      <c r="L315" s="38" t="str">
        <f t="shared" si="14"/>
        <v/>
      </c>
      <c r="M315" s="37"/>
    </row>
    <row r="316" spans="1:13" x14ac:dyDescent="0.35">
      <c r="A316" s="44" t="str">
        <f t="shared" si="12"/>
        <v>June 2026</v>
      </c>
      <c r="B316" s="43">
        <v>46182</v>
      </c>
      <c r="C316" s="42" t="s">
        <v>217</v>
      </c>
      <c r="D316" s="42" t="s">
        <v>216</v>
      </c>
      <c r="E316" s="42" t="s">
        <v>141</v>
      </c>
      <c r="F316" s="42" t="s">
        <v>155</v>
      </c>
      <c r="G316" s="41">
        <v>50</v>
      </c>
      <c r="H316" s="41"/>
      <c r="I316" s="40">
        <f>IF(B316="","",IF(I315="",MASTER!$C$7,I315)+N(H316)-N(G316))</f>
        <v>7640</v>
      </c>
      <c r="J316" s="39">
        <v>19000</v>
      </c>
      <c r="K316" s="22">
        <f t="shared" si="13"/>
        <v>950000</v>
      </c>
      <c r="L316" s="38" t="str">
        <f t="shared" si="14"/>
        <v/>
      </c>
      <c r="M316" s="37"/>
    </row>
    <row r="317" spans="1:13" x14ac:dyDescent="0.35">
      <c r="A317" s="44" t="str">
        <f t="shared" si="12"/>
        <v>June 2026</v>
      </c>
      <c r="B317" s="43">
        <v>46182</v>
      </c>
      <c r="C317" s="42" t="s">
        <v>215</v>
      </c>
      <c r="D317" s="42" t="s">
        <v>214</v>
      </c>
      <c r="E317" s="42" t="s">
        <v>141</v>
      </c>
      <c r="F317" s="42" t="s">
        <v>155</v>
      </c>
      <c r="G317" s="41">
        <v>50</v>
      </c>
      <c r="H317" s="41"/>
      <c r="I317" s="40">
        <f>IF(B317="","",IF(I316="",MASTER!$C$7,I316)+N(H317)-N(G317))</f>
        <v>7590</v>
      </c>
      <c r="J317" s="39">
        <v>19000</v>
      </c>
      <c r="K317" s="22">
        <f t="shared" si="13"/>
        <v>950000</v>
      </c>
      <c r="L317" s="38" t="str">
        <f t="shared" si="14"/>
        <v/>
      </c>
      <c r="M317" s="37"/>
    </row>
    <row r="318" spans="1:13" x14ac:dyDescent="0.35">
      <c r="A318" s="44" t="str">
        <f t="shared" si="12"/>
        <v>June 2026</v>
      </c>
      <c r="B318" s="43">
        <v>46183</v>
      </c>
      <c r="C318" s="42" t="s">
        <v>213</v>
      </c>
      <c r="D318" s="42" t="s">
        <v>212</v>
      </c>
      <c r="E318" s="42" t="s">
        <v>141</v>
      </c>
      <c r="F318" s="42" t="s">
        <v>209</v>
      </c>
      <c r="G318" s="41">
        <v>100</v>
      </c>
      <c r="H318" s="41"/>
      <c r="I318" s="40">
        <f>IF(B318="","",IF(I317="",MASTER!$C$7,I317)+N(H318)-N(G318))</f>
        <v>7490</v>
      </c>
      <c r="J318" s="39">
        <v>19000</v>
      </c>
      <c r="K318" s="22">
        <f t="shared" si="13"/>
        <v>1900000</v>
      </c>
      <c r="L318" s="38" t="str">
        <f t="shared" si="14"/>
        <v/>
      </c>
      <c r="M318" s="37"/>
    </row>
    <row r="319" spans="1:13" x14ac:dyDescent="0.35">
      <c r="A319" s="44" t="str">
        <f t="shared" si="12"/>
        <v>June 2026</v>
      </c>
      <c r="B319" s="43">
        <v>46183</v>
      </c>
      <c r="C319" s="42" t="s">
        <v>211</v>
      </c>
      <c r="D319" s="42" t="s">
        <v>210</v>
      </c>
      <c r="E319" s="42" t="s">
        <v>141</v>
      </c>
      <c r="F319" s="42" t="s">
        <v>209</v>
      </c>
      <c r="G319" s="41">
        <v>100</v>
      </c>
      <c r="H319" s="41"/>
      <c r="I319" s="40">
        <f>IF(B319="","",IF(I318="",MASTER!$C$7,I318)+N(H319)-N(G319))</f>
        <v>7390</v>
      </c>
      <c r="J319" s="39">
        <v>19000</v>
      </c>
      <c r="K319" s="22">
        <f t="shared" si="13"/>
        <v>1900000</v>
      </c>
      <c r="L319" s="38" t="str">
        <f t="shared" si="14"/>
        <v/>
      </c>
      <c r="M319" s="37"/>
    </row>
    <row r="320" spans="1:13" x14ac:dyDescent="0.35">
      <c r="A320" s="44" t="str">
        <f t="shared" si="12"/>
        <v>June 2026</v>
      </c>
      <c r="B320" s="43">
        <v>46183</v>
      </c>
      <c r="C320" s="42" t="s">
        <v>208</v>
      </c>
      <c r="D320" s="42" t="s">
        <v>207</v>
      </c>
      <c r="E320" s="42" t="s">
        <v>141</v>
      </c>
      <c r="F320" s="42" t="s">
        <v>150</v>
      </c>
      <c r="G320" s="41">
        <v>70</v>
      </c>
      <c r="H320" s="41"/>
      <c r="I320" s="40">
        <f>IF(B320="","",IF(I319="",MASTER!$C$7,I319)+N(H320)-N(G320))</f>
        <v>7320</v>
      </c>
      <c r="J320" s="39">
        <v>19000</v>
      </c>
      <c r="K320" s="22">
        <f t="shared" si="13"/>
        <v>1330000</v>
      </c>
      <c r="L320" s="38" t="str">
        <f t="shared" si="14"/>
        <v/>
      </c>
      <c r="M320" s="37"/>
    </row>
    <row r="321" spans="1:13" x14ac:dyDescent="0.35">
      <c r="A321" s="44" t="str">
        <f t="shared" si="12"/>
        <v>June 2026</v>
      </c>
      <c r="B321" s="43">
        <v>46183</v>
      </c>
      <c r="C321" s="42" t="s">
        <v>206</v>
      </c>
      <c r="D321" s="42" t="s">
        <v>205</v>
      </c>
      <c r="E321" s="42" t="s">
        <v>141</v>
      </c>
      <c r="F321" s="42" t="s">
        <v>150</v>
      </c>
      <c r="G321" s="41">
        <v>70</v>
      </c>
      <c r="H321" s="41"/>
      <c r="I321" s="40">
        <f>IF(B321="","",IF(I320="",MASTER!$C$7,I320)+N(H321)-N(G321))</f>
        <v>7250</v>
      </c>
      <c r="J321" s="39">
        <v>19000</v>
      </c>
      <c r="K321" s="22">
        <f t="shared" si="13"/>
        <v>1330000</v>
      </c>
      <c r="L321" s="38" t="str">
        <f t="shared" si="14"/>
        <v/>
      </c>
      <c r="M321" s="37"/>
    </row>
    <row r="322" spans="1:13" x14ac:dyDescent="0.35">
      <c r="A322" s="44" t="str">
        <f t="shared" si="12"/>
        <v>June 2026</v>
      </c>
      <c r="B322" s="43">
        <v>46183</v>
      </c>
      <c r="C322" s="42" t="s">
        <v>204</v>
      </c>
      <c r="D322" s="42" t="s">
        <v>203</v>
      </c>
      <c r="E322" s="42" t="s">
        <v>141</v>
      </c>
      <c r="F322" s="42" t="s">
        <v>150</v>
      </c>
      <c r="G322" s="41">
        <v>70</v>
      </c>
      <c r="H322" s="41"/>
      <c r="I322" s="40">
        <f>IF(B322="","",IF(I321="",MASTER!$C$7,I321)+N(H322)-N(G322))</f>
        <v>7180</v>
      </c>
      <c r="J322" s="39">
        <v>19000</v>
      </c>
      <c r="K322" s="22">
        <f t="shared" si="13"/>
        <v>1330000</v>
      </c>
      <c r="L322" s="38" t="str">
        <f t="shared" si="14"/>
        <v/>
      </c>
      <c r="M322" s="37"/>
    </row>
    <row r="323" spans="1:13" x14ac:dyDescent="0.35">
      <c r="A323" s="44" t="str">
        <f t="shared" ref="A323:A386" si="15">IF(B323="","",TEXT(B323,"MMMM YYYY"))</f>
        <v>June 2026</v>
      </c>
      <c r="B323" s="43">
        <v>46183</v>
      </c>
      <c r="C323" s="42" t="s">
        <v>160</v>
      </c>
      <c r="D323" s="42" t="s">
        <v>91</v>
      </c>
      <c r="E323" s="42" t="s">
        <v>54</v>
      </c>
      <c r="F323" s="42" t="s">
        <v>44</v>
      </c>
      <c r="G323" s="41">
        <v>100</v>
      </c>
      <c r="H323" s="41"/>
      <c r="I323" s="40">
        <f>IF(B323="","",IF(I322="",MASTER!$C$7,I322)+N(H323)-N(G323))</f>
        <v>7080</v>
      </c>
      <c r="J323" s="39">
        <v>19000</v>
      </c>
      <c r="K323" s="22">
        <f t="shared" ref="K323:K386" si="16">IF(OR(B323="",J323=""),"",N(G323)*J323)</f>
        <v>1900000</v>
      </c>
      <c r="L323" s="38" t="str">
        <f t="shared" ref="L323:L386" si="17">IF(OR(B323="",H323="",J323=""),"",N(H323)*J323)</f>
        <v/>
      </c>
      <c r="M323" s="37"/>
    </row>
    <row r="324" spans="1:13" x14ac:dyDescent="0.35">
      <c r="A324" s="44" t="str">
        <f t="shared" si="15"/>
        <v>June 2026</v>
      </c>
      <c r="B324" s="43">
        <v>46183</v>
      </c>
      <c r="C324" s="42" t="s">
        <v>148</v>
      </c>
      <c r="D324" s="42" t="s">
        <v>91</v>
      </c>
      <c r="E324" s="42" t="s">
        <v>54</v>
      </c>
      <c r="F324" s="42" t="s">
        <v>44</v>
      </c>
      <c r="G324" s="41">
        <v>100</v>
      </c>
      <c r="H324" s="41"/>
      <c r="I324" s="40">
        <f>IF(B324="","",IF(I323="",MASTER!$C$7,I323)+N(H324)-N(G324))</f>
        <v>6980</v>
      </c>
      <c r="J324" s="39">
        <v>19000</v>
      </c>
      <c r="K324" s="22">
        <f t="shared" si="16"/>
        <v>1900000</v>
      </c>
      <c r="L324" s="38" t="str">
        <f t="shared" si="17"/>
        <v/>
      </c>
      <c r="M324" s="37"/>
    </row>
    <row r="325" spans="1:13" x14ac:dyDescent="0.35">
      <c r="A325" s="44" t="str">
        <f t="shared" si="15"/>
        <v>June 2026</v>
      </c>
      <c r="B325" s="43">
        <v>46183</v>
      </c>
      <c r="C325" s="42" t="s">
        <v>133</v>
      </c>
      <c r="D325" s="42" t="s">
        <v>91</v>
      </c>
      <c r="E325" s="42" t="s">
        <v>54</v>
      </c>
      <c r="F325" s="42" t="s">
        <v>44</v>
      </c>
      <c r="G325" s="41">
        <v>100</v>
      </c>
      <c r="H325" s="41"/>
      <c r="I325" s="40">
        <f>IF(B325="","",IF(I324="",MASTER!$C$7,I324)+N(H325)-N(G325))</f>
        <v>6880</v>
      </c>
      <c r="J325" s="39">
        <v>19000</v>
      </c>
      <c r="K325" s="22">
        <f t="shared" si="16"/>
        <v>1900000</v>
      </c>
      <c r="L325" s="38" t="str">
        <f t="shared" si="17"/>
        <v/>
      </c>
      <c r="M325" s="37"/>
    </row>
    <row r="326" spans="1:13" x14ac:dyDescent="0.35">
      <c r="A326" s="44" t="str">
        <f t="shared" si="15"/>
        <v>June 2026</v>
      </c>
      <c r="B326" s="43">
        <v>46183</v>
      </c>
      <c r="C326" s="42" t="s">
        <v>134</v>
      </c>
      <c r="D326" s="42" t="s">
        <v>91</v>
      </c>
      <c r="E326" s="42" t="s">
        <v>54</v>
      </c>
      <c r="F326" s="42" t="s">
        <v>44</v>
      </c>
      <c r="G326" s="41">
        <v>100</v>
      </c>
      <c r="H326" s="41"/>
      <c r="I326" s="40">
        <f>IF(B326="","",IF(I325="",MASTER!$C$7,I325)+N(H326)-N(G326))</f>
        <v>6780</v>
      </c>
      <c r="J326" s="39">
        <v>19000</v>
      </c>
      <c r="K326" s="22">
        <f t="shared" si="16"/>
        <v>1900000</v>
      </c>
      <c r="L326" s="38" t="str">
        <f t="shared" si="17"/>
        <v/>
      </c>
      <c r="M326" s="37"/>
    </row>
    <row r="327" spans="1:13" x14ac:dyDescent="0.35">
      <c r="A327" s="44" t="str">
        <f t="shared" si="15"/>
        <v>June 2026</v>
      </c>
      <c r="B327" s="43">
        <v>46183</v>
      </c>
      <c r="C327" s="42" t="s">
        <v>202</v>
      </c>
      <c r="D327" s="42" t="s">
        <v>201</v>
      </c>
      <c r="E327" s="42" t="s">
        <v>141</v>
      </c>
      <c r="F327" s="42" t="s">
        <v>166</v>
      </c>
      <c r="G327" s="41">
        <v>50</v>
      </c>
      <c r="H327" s="41"/>
      <c r="I327" s="40">
        <f>IF(B327="","",IF(I326="",MASTER!$C$7,I326)+N(H327)-N(G327))</f>
        <v>6730</v>
      </c>
      <c r="J327" s="39">
        <v>19000</v>
      </c>
      <c r="K327" s="22">
        <f t="shared" si="16"/>
        <v>950000</v>
      </c>
      <c r="L327" s="38" t="str">
        <f t="shared" si="17"/>
        <v/>
      </c>
      <c r="M327" s="37"/>
    </row>
    <row r="328" spans="1:13" x14ac:dyDescent="0.35">
      <c r="A328" s="44" t="str">
        <f t="shared" si="15"/>
        <v>June 2026</v>
      </c>
      <c r="B328" s="43">
        <v>46183</v>
      </c>
      <c r="C328" s="42" t="s">
        <v>293</v>
      </c>
      <c r="D328" s="42" t="s">
        <v>200</v>
      </c>
      <c r="E328" s="42" t="s">
        <v>54</v>
      </c>
      <c r="F328" s="42" t="s">
        <v>166</v>
      </c>
      <c r="G328" s="41">
        <v>200</v>
      </c>
      <c r="H328" s="41"/>
      <c r="I328" s="40">
        <f>IF(B328="","",IF(I327="",MASTER!$C$7,I327)+N(H328)-N(G328))</f>
        <v>6530</v>
      </c>
      <c r="J328" s="39">
        <v>19000</v>
      </c>
      <c r="K328" s="22">
        <f t="shared" si="16"/>
        <v>3800000</v>
      </c>
      <c r="L328" s="38" t="str">
        <f t="shared" si="17"/>
        <v/>
      </c>
      <c r="M328" s="37"/>
    </row>
    <row r="329" spans="1:13" x14ac:dyDescent="0.35">
      <c r="A329" s="44" t="str">
        <f t="shared" si="15"/>
        <v>June 2026</v>
      </c>
      <c r="B329" s="43">
        <v>46183</v>
      </c>
      <c r="C329" s="42" t="s">
        <v>199</v>
      </c>
      <c r="D329" s="42" t="s">
        <v>198</v>
      </c>
      <c r="E329" s="42" t="s">
        <v>54</v>
      </c>
      <c r="F329" s="42" t="s">
        <v>166</v>
      </c>
      <c r="G329" s="41">
        <v>200</v>
      </c>
      <c r="H329" s="41"/>
      <c r="I329" s="40">
        <f>IF(B329="","",IF(I328="",MASTER!$C$7,I328)+N(H329)-N(G329))</f>
        <v>6330</v>
      </c>
      <c r="J329" s="39">
        <v>19000</v>
      </c>
      <c r="K329" s="22">
        <f t="shared" si="16"/>
        <v>3800000</v>
      </c>
      <c r="L329" s="38" t="str">
        <f t="shared" si="17"/>
        <v/>
      </c>
      <c r="M329" s="37"/>
    </row>
    <row r="330" spans="1:13" x14ac:dyDescent="0.35">
      <c r="A330" s="44" t="str">
        <f t="shared" si="15"/>
        <v>June 2026</v>
      </c>
      <c r="B330" s="43">
        <v>46183</v>
      </c>
      <c r="C330" s="42" t="s">
        <v>197</v>
      </c>
      <c r="D330" s="42" t="s">
        <v>196</v>
      </c>
      <c r="E330" s="42" t="s">
        <v>54</v>
      </c>
      <c r="F330" s="42" t="s">
        <v>166</v>
      </c>
      <c r="G330" s="41">
        <v>200</v>
      </c>
      <c r="H330" s="41"/>
      <c r="I330" s="40">
        <f>IF(B330="","",IF(I329="",MASTER!$C$7,I329)+N(H330)-N(G330))</f>
        <v>6130</v>
      </c>
      <c r="J330" s="39">
        <v>19000</v>
      </c>
      <c r="K330" s="22">
        <f t="shared" si="16"/>
        <v>3800000</v>
      </c>
      <c r="L330" s="38" t="str">
        <f t="shared" si="17"/>
        <v/>
      </c>
      <c r="M330" s="37"/>
    </row>
    <row r="331" spans="1:13" x14ac:dyDescent="0.35">
      <c r="A331" s="44" t="str">
        <f t="shared" si="15"/>
        <v>June 2026</v>
      </c>
      <c r="B331" s="43">
        <v>46183</v>
      </c>
      <c r="C331" s="42" t="s">
        <v>195</v>
      </c>
      <c r="D331" s="42" t="s">
        <v>194</v>
      </c>
      <c r="E331" s="42" t="s">
        <v>141</v>
      </c>
      <c r="F331" s="42" t="s">
        <v>166</v>
      </c>
      <c r="G331" s="41">
        <v>50</v>
      </c>
      <c r="H331" s="41"/>
      <c r="I331" s="40">
        <f>IF(B331="","",IF(I330="",MASTER!$C$7,I330)+N(H331)-N(G331))</f>
        <v>6080</v>
      </c>
      <c r="J331" s="39">
        <v>19000</v>
      </c>
      <c r="K331" s="22">
        <f t="shared" si="16"/>
        <v>950000</v>
      </c>
      <c r="L331" s="38" t="str">
        <f t="shared" si="17"/>
        <v/>
      </c>
      <c r="M331" s="37"/>
    </row>
    <row r="332" spans="1:13" x14ac:dyDescent="0.35">
      <c r="A332" s="44" t="str">
        <f t="shared" si="15"/>
        <v>June 2026</v>
      </c>
      <c r="B332" s="43">
        <v>46183</v>
      </c>
      <c r="C332" s="42" t="s">
        <v>51</v>
      </c>
      <c r="D332" s="42" t="s">
        <v>156</v>
      </c>
      <c r="E332" s="42" t="s">
        <v>54</v>
      </c>
      <c r="F332" s="42" t="s">
        <v>155</v>
      </c>
      <c r="G332" s="41">
        <v>100</v>
      </c>
      <c r="H332" s="41"/>
      <c r="I332" s="40">
        <f>IF(B332="","",IF(I331="",MASTER!$C$7,I331)+N(H332)-N(G332))</f>
        <v>5980</v>
      </c>
      <c r="J332" s="39">
        <v>19000</v>
      </c>
      <c r="K332" s="22">
        <f t="shared" si="16"/>
        <v>1900000</v>
      </c>
      <c r="L332" s="38" t="str">
        <f t="shared" si="17"/>
        <v/>
      </c>
      <c r="M332" s="37"/>
    </row>
    <row r="333" spans="1:13" x14ac:dyDescent="0.35">
      <c r="A333" s="44" t="str">
        <f t="shared" si="15"/>
        <v>June 2026</v>
      </c>
      <c r="B333" s="43">
        <v>46183</v>
      </c>
      <c r="C333" s="42" t="s">
        <v>170</v>
      </c>
      <c r="D333" s="42" t="s">
        <v>169</v>
      </c>
      <c r="E333" s="42" t="s">
        <v>54</v>
      </c>
      <c r="F333" s="42" t="s">
        <v>166</v>
      </c>
      <c r="G333" s="41">
        <v>150</v>
      </c>
      <c r="H333" s="41"/>
      <c r="I333" s="40">
        <f>IF(B333="","",IF(I332="",MASTER!$C$7,I332)+N(H333)-N(G333))</f>
        <v>5830</v>
      </c>
      <c r="J333" s="39">
        <v>19000</v>
      </c>
      <c r="K333" s="22">
        <f t="shared" si="16"/>
        <v>2850000</v>
      </c>
      <c r="L333" s="38" t="str">
        <f t="shared" si="17"/>
        <v/>
      </c>
      <c r="M333" s="37"/>
    </row>
    <row r="334" spans="1:13" x14ac:dyDescent="0.35">
      <c r="A334" s="44" t="str">
        <f t="shared" si="15"/>
        <v>June 2026</v>
      </c>
      <c r="B334" s="43">
        <v>46183</v>
      </c>
      <c r="C334" s="42" t="s">
        <v>168</v>
      </c>
      <c r="D334" s="42" t="s">
        <v>167</v>
      </c>
      <c r="E334" s="42" t="s">
        <v>54</v>
      </c>
      <c r="F334" s="42" t="s">
        <v>166</v>
      </c>
      <c r="G334" s="41">
        <v>200</v>
      </c>
      <c r="H334" s="41"/>
      <c r="I334" s="40">
        <f>IF(B334="","",IF(I333="",MASTER!$C$7,I333)+N(H334)-N(G334))</f>
        <v>5630</v>
      </c>
      <c r="J334" s="39">
        <v>19000</v>
      </c>
      <c r="K334" s="22">
        <f t="shared" si="16"/>
        <v>3800000</v>
      </c>
      <c r="L334" s="38" t="str">
        <f t="shared" si="17"/>
        <v/>
      </c>
      <c r="M334" s="37"/>
    </row>
    <row r="335" spans="1:13" x14ac:dyDescent="0.35">
      <c r="A335" s="44" t="str">
        <f t="shared" si="15"/>
        <v>June 2026</v>
      </c>
      <c r="B335" s="43">
        <v>46183</v>
      </c>
      <c r="C335" s="42" t="s">
        <v>174</v>
      </c>
      <c r="D335" s="42" t="s">
        <v>173</v>
      </c>
      <c r="E335" s="42" t="s">
        <v>54</v>
      </c>
      <c r="F335" s="42" t="s">
        <v>166</v>
      </c>
      <c r="G335" s="41">
        <v>200</v>
      </c>
      <c r="H335" s="41"/>
      <c r="I335" s="40">
        <f>IF(B335="","",IF(I334="",MASTER!$C$7,I334)+N(H335)-N(G335))</f>
        <v>5430</v>
      </c>
      <c r="J335" s="39">
        <v>19000</v>
      </c>
      <c r="K335" s="22">
        <f t="shared" si="16"/>
        <v>3800000</v>
      </c>
      <c r="L335" s="38" t="str">
        <f t="shared" si="17"/>
        <v/>
      </c>
      <c r="M335" s="37"/>
    </row>
    <row r="336" spans="1:13" x14ac:dyDescent="0.35">
      <c r="A336" s="44" t="str">
        <f t="shared" si="15"/>
        <v>June 2026</v>
      </c>
      <c r="B336" s="43">
        <v>46183</v>
      </c>
      <c r="C336" s="42" t="s">
        <v>193</v>
      </c>
      <c r="D336" s="42" t="s">
        <v>171</v>
      </c>
      <c r="E336" s="42" t="s">
        <v>54</v>
      </c>
      <c r="F336" s="42" t="s">
        <v>166</v>
      </c>
      <c r="G336" s="41">
        <v>150</v>
      </c>
      <c r="H336" s="41"/>
      <c r="I336" s="40">
        <f>IF(B336="","",IF(I335="",MASTER!$C$7,I335)+N(H336)-N(G336))</f>
        <v>5280</v>
      </c>
      <c r="J336" s="39">
        <v>19000</v>
      </c>
      <c r="K336" s="22">
        <f t="shared" si="16"/>
        <v>2850000</v>
      </c>
      <c r="L336" s="38" t="str">
        <f t="shared" si="17"/>
        <v/>
      </c>
      <c r="M336" s="37"/>
    </row>
    <row r="337" spans="1:13" x14ac:dyDescent="0.35">
      <c r="A337" s="44" t="str">
        <f t="shared" si="15"/>
        <v>June 2026</v>
      </c>
      <c r="B337" s="43">
        <v>46183</v>
      </c>
      <c r="C337" s="42" t="s">
        <v>159</v>
      </c>
      <c r="D337" s="42" t="s">
        <v>41</v>
      </c>
      <c r="E337" s="42" t="s">
        <v>158</v>
      </c>
      <c r="F337" s="42" t="s">
        <v>157</v>
      </c>
      <c r="G337" s="41">
        <v>100</v>
      </c>
      <c r="H337" s="41"/>
      <c r="I337" s="40">
        <f>IF(B337="","",IF(I336="",MASTER!$C$7,I336)+N(H337)-N(G337))</f>
        <v>5180</v>
      </c>
      <c r="J337" s="39">
        <v>19000</v>
      </c>
      <c r="K337" s="22">
        <f t="shared" si="16"/>
        <v>1900000</v>
      </c>
      <c r="L337" s="38" t="str">
        <f t="shared" si="17"/>
        <v/>
      </c>
      <c r="M337" s="37"/>
    </row>
    <row r="338" spans="1:13" x14ac:dyDescent="0.35">
      <c r="A338" s="44" t="str">
        <f t="shared" si="15"/>
        <v>June 2026</v>
      </c>
      <c r="B338" s="43">
        <v>46183</v>
      </c>
      <c r="C338" s="42" t="s">
        <v>192</v>
      </c>
      <c r="D338" s="42" t="s">
        <v>191</v>
      </c>
      <c r="E338" s="42" t="s">
        <v>141</v>
      </c>
      <c r="F338" s="42" t="s">
        <v>166</v>
      </c>
      <c r="G338" s="41">
        <v>100</v>
      </c>
      <c r="H338" s="41"/>
      <c r="I338" s="40">
        <f>IF(B338="","",IF(I337="",MASTER!$C$7,I337)+N(H338)-N(G338))</f>
        <v>5080</v>
      </c>
      <c r="J338" s="39">
        <v>19000</v>
      </c>
      <c r="K338" s="22">
        <f t="shared" si="16"/>
        <v>1900000</v>
      </c>
      <c r="L338" s="38" t="str">
        <f t="shared" si="17"/>
        <v/>
      </c>
      <c r="M338" s="37"/>
    </row>
    <row r="339" spans="1:13" x14ac:dyDescent="0.35">
      <c r="A339" s="44" t="str">
        <f t="shared" si="15"/>
        <v>June 2026</v>
      </c>
      <c r="B339" s="43">
        <v>46183</v>
      </c>
      <c r="C339" s="42" t="s">
        <v>190</v>
      </c>
      <c r="D339" s="42" t="s">
        <v>189</v>
      </c>
      <c r="E339" s="42" t="s">
        <v>188</v>
      </c>
      <c r="F339" s="42" t="s">
        <v>155</v>
      </c>
      <c r="G339" s="41">
        <v>60</v>
      </c>
      <c r="H339" s="41"/>
      <c r="I339" s="40">
        <f>IF(B339="","",IF(I338="",MASTER!$C$7,I338)+N(H339)-N(G339))</f>
        <v>5020</v>
      </c>
      <c r="J339" s="39">
        <v>19000</v>
      </c>
      <c r="K339" s="22">
        <f t="shared" si="16"/>
        <v>1140000</v>
      </c>
      <c r="L339" s="38" t="str">
        <f t="shared" si="17"/>
        <v/>
      </c>
      <c r="M339" s="37"/>
    </row>
    <row r="340" spans="1:13" x14ac:dyDescent="0.35">
      <c r="A340" s="44" t="str">
        <f t="shared" si="15"/>
        <v>June 2026</v>
      </c>
      <c r="B340" s="43">
        <v>46183</v>
      </c>
      <c r="C340" s="42" t="s">
        <v>187</v>
      </c>
      <c r="D340" s="42" t="s">
        <v>186</v>
      </c>
      <c r="E340" s="42" t="s">
        <v>141</v>
      </c>
      <c r="F340" s="42" t="s">
        <v>155</v>
      </c>
      <c r="G340" s="41">
        <v>50</v>
      </c>
      <c r="H340" s="41"/>
      <c r="I340" s="40">
        <f>IF(B340="","",IF(I339="",MASTER!$C$7,I339)+N(H340)-N(G340))</f>
        <v>4970</v>
      </c>
      <c r="J340" s="39">
        <v>19000</v>
      </c>
      <c r="K340" s="22">
        <f t="shared" si="16"/>
        <v>950000</v>
      </c>
      <c r="L340" s="38" t="str">
        <f t="shared" si="17"/>
        <v/>
      </c>
      <c r="M340" s="37"/>
    </row>
    <row r="341" spans="1:13" x14ac:dyDescent="0.35">
      <c r="A341" s="44" t="str">
        <f t="shared" si="15"/>
        <v>June 2026</v>
      </c>
      <c r="B341" s="43">
        <v>46183</v>
      </c>
      <c r="C341" s="42" t="s">
        <v>185</v>
      </c>
      <c r="D341" s="42" t="s">
        <v>183</v>
      </c>
      <c r="E341" s="42" t="s">
        <v>141</v>
      </c>
      <c r="F341" s="42" t="s">
        <v>155</v>
      </c>
      <c r="G341" s="41">
        <v>50</v>
      </c>
      <c r="H341" s="41"/>
      <c r="I341" s="40">
        <f>IF(B341="","",IF(I340="",MASTER!$C$7,I340)+N(H341)-N(G341))</f>
        <v>4920</v>
      </c>
      <c r="J341" s="39">
        <v>19000</v>
      </c>
      <c r="K341" s="22">
        <f t="shared" si="16"/>
        <v>950000</v>
      </c>
      <c r="L341" s="38" t="str">
        <f t="shared" si="17"/>
        <v/>
      </c>
      <c r="M341" s="37"/>
    </row>
    <row r="342" spans="1:13" x14ac:dyDescent="0.35">
      <c r="A342" s="44" t="str">
        <f t="shared" si="15"/>
        <v>June 2026</v>
      </c>
      <c r="B342" s="43">
        <v>46183</v>
      </c>
      <c r="C342" s="42" t="s">
        <v>184</v>
      </c>
      <c r="D342" s="42" t="s">
        <v>183</v>
      </c>
      <c r="E342" s="42" t="s">
        <v>141</v>
      </c>
      <c r="F342" s="42" t="s">
        <v>155</v>
      </c>
      <c r="G342" s="41">
        <v>50</v>
      </c>
      <c r="H342" s="41"/>
      <c r="I342" s="40">
        <f>IF(B342="","",IF(I341="",MASTER!$C$7,I341)+N(H342)-N(G342))</f>
        <v>4870</v>
      </c>
      <c r="J342" s="39">
        <v>19000</v>
      </c>
      <c r="K342" s="22">
        <f t="shared" si="16"/>
        <v>950000</v>
      </c>
      <c r="L342" s="38" t="str">
        <f t="shared" si="17"/>
        <v/>
      </c>
      <c r="M342" s="37"/>
    </row>
    <row r="343" spans="1:13" x14ac:dyDescent="0.35">
      <c r="A343" s="44" t="str">
        <f t="shared" si="15"/>
        <v>June 2026</v>
      </c>
      <c r="B343" s="43">
        <v>46183</v>
      </c>
      <c r="C343" s="42" t="s">
        <v>182</v>
      </c>
      <c r="D343" s="42" t="s">
        <v>181</v>
      </c>
      <c r="E343" s="42" t="s">
        <v>141</v>
      </c>
      <c r="F343" s="42" t="s">
        <v>155</v>
      </c>
      <c r="G343" s="41">
        <v>50</v>
      </c>
      <c r="H343" s="41"/>
      <c r="I343" s="40">
        <f>IF(B343="","",IF(I342="",MASTER!$C$7,I342)+N(H343)-N(G343))</f>
        <v>4820</v>
      </c>
      <c r="J343" s="39">
        <v>19000</v>
      </c>
      <c r="K343" s="22">
        <f t="shared" si="16"/>
        <v>950000</v>
      </c>
      <c r="L343" s="38" t="str">
        <f t="shared" si="17"/>
        <v/>
      </c>
      <c r="M343" s="37"/>
    </row>
    <row r="344" spans="1:13" x14ac:dyDescent="0.35">
      <c r="A344" s="44" t="str">
        <f t="shared" si="15"/>
        <v>June 2026</v>
      </c>
      <c r="B344" s="43">
        <v>46183</v>
      </c>
      <c r="C344" s="42" t="s">
        <v>180</v>
      </c>
      <c r="D344" s="42" t="s">
        <v>179</v>
      </c>
      <c r="E344" s="42" t="s">
        <v>141</v>
      </c>
      <c r="F344" s="42" t="s">
        <v>155</v>
      </c>
      <c r="G344" s="41">
        <v>50</v>
      </c>
      <c r="H344" s="41"/>
      <c r="I344" s="40">
        <f>IF(B344="","",IF(I343="",MASTER!$C$7,I343)+N(H344)-N(G344))</f>
        <v>4770</v>
      </c>
      <c r="J344" s="39">
        <v>19000</v>
      </c>
      <c r="K344" s="22">
        <f t="shared" si="16"/>
        <v>950000</v>
      </c>
      <c r="L344" s="38" t="str">
        <f t="shared" si="17"/>
        <v/>
      </c>
      <c r="M344" s="37"/>
    </row>
    <row r="345" spans="1:13" x14ac:dyDescent="0.35">
      <c r="A345" s="44" t="str">
        <f t="shared" si="15"/>
        <v>June 2026</v>
      </c>
      <c r="B345" s="43">
        <v>46183</v>
      </c>
      <c r="C345" s="42" t="s">
        <v>178</v>
      </c>
      <c r="D345" s="42" t="s">
        <v>177</v>
      </c>
      <c r="E345" s="42" t="s">
        <v>141</v>
      </c>
      <c r="F345" s="42" t="s">
        <v>155</v>
      </c>
      <c r="G345" s="41">
        <v>50</v>
      </c>
      <c r="H345" s="41"/>
      <c r="I345" s="40">
        <f>IF(B345="","",IF(I344="",MASTER!$C$7,I344)+N(H345)-N(G345))</f>
        <v>4720</v>
      </c>
      <c r="J345" s="39">
        <v>19000</v>
      </c>
      <c r="K345" s="22">
        <f t="shared" si="16"/>
        <v>950000</v>
      </c>
      <c r="L345" s="38" t="str">
        <f t="shared" si="17"/>
        <v/>
      </c>
      <c r="M345" s="37"/>
    </row>
    <row r="346" spans="1:13" x14ac:dyDescent="0.35">
      <c r="A346" s="44" t="str">
        <f t="shared" si="15"/>
        <v>June 2026</v>
      </c>
      <c r="B346" s="43">
        <v>46183</v>
      </c>
      <c r="C346" s="42" t="s">
        <v>176</v>
      </c>
      <c r="D346" s="42" t="s">
        <v>175</v>
      </c>
      <c r="E346" s="42" t="s">
        <v>141</v>
      </c>
      <c r="F346" s="42" t="s">
        <v>155</v>
      </c>
      <c r="G346" s="41">
        <v>50</v>
      </c>
      <c r="H346" s="41"/>
      <c r="I346" s="40">
        <f>IF(B346="","",IF(I345="",MASTER!$C$7,I345)+N(H346)-N(G346))</f>
        <v>4670</v>
      </c>
      <c r="J346" s="39">
        <v>19000</v>
      </c>
      <c r="K346" s="22">
        <f t="shared" si="16"/>
        <v>950000</v>
      </c>
      <c r="L346" s="38" t="str">
        <f t="shared" si="17"/>
        <v/>
      </c>
      <c r="M346" s="37"/>
    </row>
    <row r="347" spans="1:13" x14ac:dyDescent="0.35">
      <c r="A347" s="44" t="str">
        <f t="shared" si="15"/>
        <v>June 2026</v>
      </c>
      <c r="B347" s="43">
        <v>46183</v>
      </c>
      <c r="C347" s="42" t="s">
        <v>49</v>
      </c>
      <c r="D347" s="42" t="s">
        <v>36</v>
      </c>
      <c r="E347" s="42" t="s">
        <v>141</v>
      </c>
      <c r="F347" s="42" t="s">
        <v>44</v>
      </c>
      <c r="G347" s="41">
        <v>100</v>
      </c>
      <c r="H347" s="41"/>
      <c r="I347" s="40">
        <f>IF(B347="","",IF(I346="",MASTER!$C$7,I346)+N(H347)-N(G347))</f>
        <v>4570</v>
      </c>
      <c r="J347" s="39">
        <v>19000</v>
      </c>
      <c r="K347" s="22">
        <f t="shared" si="16"/>
        <v>1900000</v>
      </c>
      <c r="L347" s="38" t="str">
        <f t="shared" si="17"/>
        <v/>
      </c>
      <c r="M347" s="37"/>
    </row>
    <row r="348" spans="1:13" x14ac:dyDescent="0.35">
      <c r="A348" s="44" t="str">
        <f t="shared" si="15"/>
        <v>June 2026</v>
      </c>
      <c r="B348" s="43">
        <v>46184</v>
      </c>
      <c r="C348" s="42" t="s">
        <v>174</v>
      </c>
      <c r="D348" s="42" t="s">
        <v>173</v>
      </c>
      <c r="E348" s="42" t="s">
        <v>54</v>
      </c>
      <c r="F348" s="42" t="s">
        <v>166</v>
      </c>
      <c r="G348" s="41">
        <v>31</v>
      </c>
      <c r="H348" s="41"/>
      <c r="I348" s="40">
        <f>IF(B348="","",IF(I347="",MASTER!$C$7,I347)+N(H348)-N(G348))</f>
        <v>4539</v>
      </c>
      <c r="J348" s="39">
        <v>19000</v>
      </c>
      <c r="K348" s="22">
        <f t="shared" si="16"/>
        <v>589000</v>
      </c>
      <c r="L348" s="38" t="str">
        <f t="shared" si="17"/>
        <v/>
      </c>
      <c r="M348" s="37"/>
    </row>
    <row r="349" spans="1:13" x14ac:dyDescent="0.35">
      <c r="A349" s="44" t="str">
        <f t="shared" si="15"/>
        <v>June 2026</v>
      </c>
      <c r="B349" s="43">
        <v>46184</v>
      </c>
      <c r="C349" s="42" t="s">
        <v>172</v>
      </c>
      <c r="D349" s="42" t="s">
        <v>171</v>
      </c>
      <c r="E349" s="42" t="s">
        <v>54</v>
      </c>
      <c r="F349" s="42" t="s">
        <v>166</v>
      </c>
      <c r="G349" s="41">
        <v>150</v>
      </c>
      <c r="H349" s="41"/>
      <c r="I349" s="40">
        <f>IF(B349="","",IF(I348="",MASTER!$C$7,I348)+N(H349)-N(G349))</f>
        <v>4389</v>
      </c>
      <c r="J349" s="39">
        <v>19000</v>
      </c>
      <c r="K349" s="22">
        <f t="shared" si="16"/>
        <v>2850000</v>
      </c>
      <c r="L349" s="38" t="str">
        <f t="shared" si="17"/>
        <v/>
      </c>
      <c r="M349" s="37"/>
    </row>
    <row r="350" spans="1:13" x14ac:dyDescent="0.35">
      <c r="A350" s="44" t="str">
        <f t="shared" si="15"/>
        <v>June 2026</v>
      </c>
      <c r="B350" s="43">
        <v>46184</v>
      </c>
      <c r="C350" s="42" t="s">
        <v>170</v>
      </c>
      <c r="D350" s="42" t="s">
        <v>169</v>
      </c>
      <c r="E350" s="42" t="s">
        <v>54</v>
      </c>
      <c r="F350" s="42" t="s">
        <v>166</v>
      </c>
      <c r="G350" s="41">
        <v>200</v>
      </c>
      <c r="H350" s="41"/>
      <c r="I350" s="40">
        <f>IF(B350="","",IF(I349="",MASTER!$C$7,I349)+N(H350)-N(G350))</f>
        <v>4189</v>
      </c>
      <c r="J350" s="39">
        <v>19000</v>
      </c>
      <c r="K350" s="22">
        <f t="shared" si="16"/>
        <v>3800000</v>
      </c>
      <c r="L350" s="38" t="str">
        <f t="shared" si="17"/>
        <v/>
      </c>
      <c r="M350" s="37"/>
    </row>
    <row r="351" spans="1:13" x14ac:dyDescent="0.35">
      <c r="A351" s="44" t="str">
        <f t="shared" si="15"/>
        <v>June 2026</v>
      </c>
      <c r="B351" s="43">
        <v>46184</v>
      </c>
      <c r="C351" s="42" t="s">
        <v>168</v>
      </c>
      <c r="D351" s="42" t="s">
        <v>167</v>
      </c>
      <c r="E351" s="42" t="s">
        <v>54</v>
      </c>
      <c r="F351" s="42" t="s">
        <v>166</v>
      </c>
      <c r="G351" s="41">
        <v>150</v>
      </c>
      <c r="H351" s="41"/>
      <c r="I351" s="40">
        <f>IF(B351="","",IF(I350="",MASTER!$C$7,I350)+N(H351)-N(G351))</f>
        <v>4039</v>
      </c>
      <c r="J351" s="39">
        <v>19000</v>
      </c>
      <c r="K351" s="22">
        <f t="shared" si="16"/>
        <v>2850000</v>
      </c>
      <c r="L351" s="38" t="str">
        <f t="shared" si="17"/>
        <v/>
      </c>
      <c r="M351" s="37"/>
    </row>
    <row r="352" spans="1:13" x14ac:dyDescent="0.35">
      <c r="A352" s="44" t="str">
        <f t="shared" si="15"/>
        <v>June 2026</v>
      </c>
      <c r="B352" s="43">
        <v>46184</v>
      </c>
      <c r="C352" s="42" t="s">
        <v>51</v>
      </c>
      <c r="D352" s="42" t="s">
        <v>156</v>
      </c>
      <c r="E352" s="42" t="s">
        <v>54</v>
      </c>
      <c r="F352" s="42" t="s">
        <v>155</v>
      </c>
      <c r="G352" s="41">
        <v>50</v>
      </c>
      <c r="H352" s="41"/>
      <c r="I352" s="40">
        <f>IF(B352="","",IF(I351="",MASTER!$C$7,I351)+N(H352)-N(G352))</f>
        <v>3989</v>
      </c>
      <c r="J352" s="39">
        <v>19000</v>
      </c>
      <c r="K352" s="22">
        <f t="shared" si="16"/>
        <v>950000</v>
      </c>
      <c r="L352" s="38" t="str">
        <f t="shared" si="17"/>
        <v/>
      </c>
      <c r="M352" s="37"/>
    </row>
    <row r="353" spans="1:13" x14ac:dyDescent="0.35">
      <c r="A353" s="44" t="str">
        <f t="shared" si="15"/>
        <v>June 2026</v>
      </c>
      <c r="B353" s="43">
        <v>46184</v>
      </c>
      <c r="C353" s="42" t="s">
        <v>116</v>
      </c>
      <c r="D353" s="42" t="s">
        <v>165</v>
      </c>
      <c r="E353" s="42" t="s">
        <v>141</v>
      </c>
      <c r="F353" s="42" t="s">
        <v>150</v>
      </c>
      <c r="G353" s="41">
        <v>33</v>
      </c>
      <c r="H353" s="41"/>
      <c r="I353" s="40">
        <f>IF(B353="","",IF(I352="",MASTER!$C$7,I352)+N(H353)-N(G353))</f>
        <v>3956</v>
      </c>
      <c r="J353" s="39">
        <v>19000</v>
      </c>
      <c r="K353" s="22">
        <f t="shared" si="16"/>
        <v>627000</v>
      </c>
      <c r="L353" s="38" t="str">
        <f t="shared" si="17"/>
        <v/>
      </c>
      <c r="M353" s="37"/>
    </row>
    <row r="354" spans="1:13" x14ac:dyDescent="0.35">
      <c r="A354" s="44" t="str">
        <f t="shared" si="15"/>
        <v>June 2026</v>
      </c>
      <c r="B354" s="43">
        <v>46184</v>
      </c>
      <c r="C354" s="42" t="s">
        <v>164</v>
      </c>
      <c r="D354" s="42" t="s">
        <v>163</v>
      </c>
      <c r="E354" s="42" t="s">
        <v>141</v>
      </c>
      <c r="F354" s="42" t="s">
        <v>150</v>
      </c>
      <c r="G354" s="41">
        <v>70</v>
      </c>
      <c r="H354" s="41"/>
      <c r="I354" s="40">
        <f>IF(B354="","",IF(I353="",MASTER!$C$7,I353)+N(H354)-N(G354))</f>
        <v>3886</v>
      </c>
      <c r="J354" s="39">
        <v>19000</v>
      </c>
      <c r="K354" s="22">
        <f t="shared" si="16"/>
        <v>1330000</v>
      </c>
      <c r="L354" s="38" t="str">
        <f t="shared" si="17"/>
        <v/>
      </c>
      <c r="M354" s="37"/>
    </row>
    <row r="355" spans="1:13" x14ac:dyDescent="0.35">
      <c r="A355" s="44" t="str">
        <f t="shared" si="15"/>
        <v>June 2026</v>
      </c>
      <c r="B355" s="43">
        <v>46184</v>
      </c>
      <c r="C355" s="42" t="s">
        <v>108</v>
      </c>
      <c r="D355" s="42" t="s">
        <v>162</v>
      </c>
      <c r="E355" s="42" t="s">
        <v>54</v>
      </c>
      <c r="F355" s="42" t="s">
        <v>44</v>
      </c>
      <c r="G355" s="41">
        <v>200</v>
      </c>
      <c r="H355" s="41"/>
      <c r="I355" s="40">
        <f>IF(B355="","",IF(I354="",MASTER!$C$7,I354)+N(H355)-N(G355))</f>
        <v>3686</v>
      </c>
      <c r="J355" s="39">
        <v>19000</v>
      </c>
      <c r="K355" s="22">
        <f t="shared" si="16"/>
        <v>3800000</v>
      </c>
      <c r="L355" s="38" t="str">
        <f t="shared" si="17"/>
        <v/>
      </c>
      <c r="M355" s="37"/>
    </row>
    <row r="356" spans="1:13" x14ac:dyDescent="0.35">
      <c r="A356" s="44" t="str">
        <f t="shared" si="15"/>
        <v>June 2026</v>
      </c>
      <c r="B356" s="43">
        <v>46184</v>
      </c>
      <c r="C356" s="42" t="s">
        <v>49</v>
      </c>
      <c r="D356" s="42" t="s">
        <v>161</v>
      </c>
      <c r="E356" s="42" t="s">
        <v>141</v>
      </c>
      <c r="F356" s="42" t="s">
        <v>44</v>
      </c>
      <c r="G356" s="41">
        <v>100</v>
      </c>
      <c r="H356" s="41"/>
      <c r="I356" s="40">
        <f>IF(B356="","",IF(I355="",MASTER!$C$7,I355)+N(H356)-N(G356))</f>
        <v>3586</v>
      </c>
      <c r="J356" s="39">
        <v>19000</v>
      </c>
      <c r="K356" s="22">
        <f t="shared" si="16"/>
        <v>1900000</v>
      </c>
      <c r="L356" s="38" t="str">
        <f t="shared" si="17"/>
        <v/>
      </c>
      <c r="M356" s="37"/>
    </row>
    <row r="357" spans="1:13" x14ac:dyDescent="0.35">
      <c r="A357" s="44" t="str">
        <f t="shared" si="15"/>
        <v>June 2026</v>
      </c>
      <c r="B357" s="43">
        <v>46184</v>
      </c>
      <c r="C357" s="42" t="s">
        <v>160</v>
      </c>
      <c r="D357" s="42" t="s">
        <v>91</v>
      </c>
      <c r="E357" s="42" t="s">
        <v>54</v>
      </c>
      <c r="F357" s="42" t="s">
        <v>44</v>
      </c>
      <c r="G357" s="41">
        <v>100</v>
      </c>
      <c r="H357" s="41"/>
      <c r="I357" s="40">
        <f>IF(B357="","",IF(I356="",MASTER!$C$7,I356)+N(H357)-N(G357))</f>
        <v>3486</v>
      </c>
      <c r="J357" s="39">
        <v>19000</v>
      </c>
      <c r="K357" s="22">
        <f t="shared" si="16"/>
        <v>1900000</v>
      </c>
      <c r="L357" s="38" t="str">
        <f t="shared" si="17"/>
        <v/>
      </c>
      <c r="M357" s="37"/>
    </row>
    <row r="358" spans="1:13" x14ac:dyDescent="0.35">
      <c r="A358" s="44" t="str">
        <f t="shared" si="15"/>
        <v>June 2026</v>
      </c>
      <c r="B358" s="43">
        <v>46184</v>
      </c>
      <c r="C358" s="42" t="s">
        <v>133</v>
      </c>
      <c r="D358" s="42" t="s">
        <v>91</v>
      </c>
      <c r="E358" s="42" t="s">
        <v>54</v>
      </c>
      <c r="F358" s="42" t="s">
        <v>44</v>
      </c>
      <c r="G358" s="41">
        <v>100</v>
      </c>
      <c r="H358" s="41"/>
      <c r="I358" s="40">
        <f>IF(B358="","",IF(I357="",MASTER!$C$7,I357)+N(H358)-N(G358))</f>
        <v>3386</v>
      </c>
      <c r="J358" s="39">
        <v>19000</v>
      </c>
      <c r="K358" s="22">
        <f t="shared" si="16"/>
        <v>1900000</v>
      </c>
      <c r="L358" s="38" t="str">
        <f t="shared" si="17"/>
        <v/>
      </c>
      <c r="M358" s="37"/>
    </row>
    <row r="359" spans="1:13" x14ac:dyDescent="0.35">
      <c r="A359" s="44" t="str">
        <f t="shared" si="15"/>
        <v>June 2026</v>
      </c>
      <c r="B359" s="43">
        <v>46184</v>
      </c>
      <c r="C359" s="42" t="s">
        <v>148</v>
      </c>
      <c r="D359" s="42" t="s">
        <v>91</v>
      </c>
      <c r="E359" s="42" t="s">
        <v>54</v>
      </c>
      <c r="F359" s="42" t="s">
        <v>44</v>
      </c>
      <c r="G359" s="41">
        <v>100</v>
      </c>
      <c r="H359" s="41"/>
      <c r="I359" s="40">
        <f>IF(B359="","",IF(I358="",MASTER!$C$7,I358)+N(H359)-N(G359))</f>
        <v>3286</v>
      </c>
      <c r="J359" s="39">
        <v>19000</v>
      </c>
      <c r="K359" s="22">
        <f t="shared" si="16"/>
        <v>1900000</v>
      </c>
      <c r="L359" s="38" t="str">
        <f t="shared" si="17"/>
        <v/>
      </c>
      <c r="M359" s="37"/>
    </row>
    <row r="360" spans="1:13" x14ac:dyDescent="0.35">
      <c r="A360" s="44" t="str">
        <f t="shared" si="15"/>
        <v>June 2026</v>
      </c>
      <c r="B360" s="43">
        <v>46185</v>
      </c>
      <c r="C360" s="42" t="s">
        <v>159</v>
      </c>
      <c r="D360" s="42" t="s">
        <v>41</v>
      </c>
      <c r="E360" s="42" t="s">
        <v>158</v>
      </c>
      <c r="F360" s="42" t="s">
        <v>157</v>
      </c>
      <c r="G360" s="41">
        <v>100</v>
      </c>
      <c r="H360" s="41"/>
      <c r="I360" s="40">
        <f>IF(B360="","",IF(I359="",MASTER!$C$7,I359)+N(H360)-N(G360))</f>
        <v>3186</v>
      </c>
      <c r="J360" s="39">
        <v>19000</v>
      </c>
      <c r="K360" s="22">
        <f t="shared" si="16"/>
        <v>1900000</v>
      </c>
      <c r="L360" s="38" t="str">
        <f t="shared" si="17"/>
        <v/>
      </c>
      <c r="M360" s="37"/>
    </row>
    <row r="361" spans="1:13" x14ac:dyDescent="0.35">
      <c r="A361" s="44" t="str">
        <f t="shared" si="15"/>
        <v>June 2026</v>
      </c>
      <c r="B361" s="43">
        <v>46186</v>
      </c>
      <c r="C361" s="42" t="s">
        <v>51</v>
      </c>
      <c r="D361" s="42" t="s">
        <v>156</v>
      </c>
      <c r="E361" s="42" t="s">
        <v>54</v>
      </c>
      <c r="F361" s="42" t="s">
        <v>155</v>
      </c>
      <c r="G361" s="41">
        <v>50</v>
      </c>
      <c r="H361" s="41"/>
      <c r="I361" s="40">
        <f>IF(B361="","",IF(I360="",MASTER!$C$7,I360)+N(H361)-N(G361))</f>
        <v>3136</v>
      </c>
      <c r="J361" s="39">
        <v>19000</v>
      </c>
      <c r="K361" s="22">
        <f t="shared" si="16"/>
        <v>950000</v>
      </c>
      <c r="L361" s="38" t="str">
        <f t="shared" si="17"/>
        <v/>
      </c>
      <c r="M361" s="37"/>
    </row>
    <row r="362" spans="1:13" x14ac:dyDescent="0.35">
      <c r="A362" s="44" t="str">
        <f t="shared" si="15"/>
        <v>June 2026</v>
      </c>
      <c r="B362" s="43">
        <v>46186</v>
      </c>
      <c r="C362" s="42" t="s">
        <v>154</v>
      </c>
      <c r="D362" s="42" t="s">
        <v>153</v>
      </c>
      <c r="E362" s="42" t="s">
        <v>141</v>
      </c>
      <c r="F362" s="42" t="s">
        <v>150</v>
      </c>
      <c r="G362" s="41">
        <v>70</v>
      </c>
      <c r="H362" s="41"/>
      <c r="I362" s="40">
        <f>IF(B362="","",IF(I361="",MASTER!$C$7,I361)+N(H362)-N(G362))</f>
        <v>3066</v>
      </c>
      <c r="J362" s="39">
        <v>19000</v>
      </c>
      <c r="K362" s="22">
        <f t="shared" si="16"/>
        <v>1330000</v>
      </c>
      <c r="L362" s="38" t="str">
        <f t="shared" si="17"/>
        <v/>
      </c>
      <c r="M362" s="37"/>
    </row>
    <row r="363" spans="1:13" x14ac:dyDescent="0.35">
      <c r="A363" s="44" t="str">
        <f t="shared" si="15"/>
        <v>June 2026</v>
      </c>
      <c r="B363" s="43">
        <v>46186</v>
      </c>
      <c r="C363" s="42" t="s">
        <v>152</v>
      </c>
      <c r="D363" s="42" t="s">
        <v>151</v>
      </c>
      <c r="E363" s="42" t="s">
        <v>141</v>
      </c>
      <c r="F363" s="42" t="s">
        <v>150</v>
      </c>
      <c r="G363" s="41">
        <v>70</v>
      </c>
      <c r="H363" s="41"/>
      <c r="I363" s="40">
        <f>IF(B363="","",IF(I362="",MASTER!$C$7,I362)+N(H363)-N(G363))</f>
        <v>2996</v>
      </c>
      <c r="J363" s="39">
        <v>19000</v>
      </c>
      <c r="K363" s="22">
        <f t="shared" si="16"/>
        <v>1330000</v>
      </c>
      <c r="L363" s="38" t="str">
        <f t="shared" si="17"/>
        <v/>
      </c>
      <c r="M363" s="37"/>
    </row>
    <row r="364" spans="1:13" x14ac:dyDescent="0.35">
      <c r="A364" s="44" t="str">
        <f t="shared" si="15"/>
        <v>June 2026</v>
      </c>
      <c r="B364" s="43">
        <v>46186</v>
      </c>
      <c r="C364" s="42" t="s">
        <v>133</v>
      </c>
      <c r="D364" s="42" t="s">
        <v>91</v>
      </c>
      <c r="E364" s="42" t="s">
        <v>54</v>
      </c>
      <c r="F364" s="42" t="s">
        <v>44</v>
      </c>
      <c r="G364" s="41">
        <v>100</v>
      </c>
      <c r="H364" s="41"/>
      <c r="I364" s="40">
        <f>IF(B364="","",IF(I363="",MASTER!$C$7,I363)+N(H364)-N(G364))</f>
        <v>2896</v>
      </c>
      <c r="J364" s="39">
        <v>19000</v>
      </c>
      <c r="K364" s="22">
        <f t="shared" si="16"/>
        <v>1900000</v>
      </c>
      <c r="L364" s="38" t="str">
        <f t="shared" si="17"/>
        <v/>
      </c>
      <c r="M364" s="37"/>
    </row>
    <row r="365" spans="1:13" x14ac:dyDescent="0.35">
      <c r="A365" s="44" t="str">
        <f t="shared" si="15"/>
        <v>June 2026</v>
      </c>
      <c r="B365" s="43">
        <v>46186</v>
      </c>
      <c r="C365" s="42" t="s">
        <v>146</v>
      </c>
      <c r="D365" s="42" t="s">
        <v>91</v>
      </c>
      <c r="E365" s="42" t="s">
        <v>54</v>
      </c>
      <c r="F365" s="42" t="s">
        <v>44</v>
      </c>
      <c r="G365" s="41">
        <v>100</v>
      </c>
      <c r="H365" s="41"/>
      <c r="I365" s="40">
        <f>IF(B365="","",IF(I364="",MASTER!$C$7,I364)+N(H365)-N(G365))</f>
        <v>2796</v>
      </c>
      <c r="J365" s="39">
        <v>19000</v>
      </c>
      <c r="K365" s="22">
        <f t="shared" si="16"/>
        <v>1900000</v>
      </c>
      <c r="L365" s="38" t="str">
        <f t="shared" si="17"/>
        <v/>
      </c>
      <c r="M365" s="37"/>
    </row>
    <row r="366" spans="1:13" x14ac:dyDescent="0.35">
      <c r="A366" s="44" t="str">
        <f t="shared" si="15"/>
        <v>June 2026</v>
      </c>
      <c r="B366" s="43">
        <v>46187</v>
      </c>
      <c r="C366" s="42" t="s">
        <v>136</v>
      </c>
      <c r="D366" s="42" t="s">
        <v>149</v>
      </c>
      <c r="E366" s="42" t="s">
        <v>54</v>
      </c>
      <c r="F366" s="42" t="s">
        <v>44</v>
      </c>
      <c r="G366" s="41">
        <v>200</v>
      </c>
      <c r="H366" s="41"/>
      <c r="I366" s="40">
        <f>IF(B366="","",IF(I365="",MASTER!$C$7,I365)+N(H366)-N(G366))</f>
        <v>2596</v>
      </c>
      <c r="J366" s="39">
        <v>19000</v>
      </c>
      <c r="K366" s="22">
        <f t="shared" si="16"/>
        <v>3800000</v>
      </c>
      <c r="L366" s="38" t="str">
        <f t="shared" si="17"/>
        <v/>
      </c>
      <c r="M366" s="37"/>
    </row>
    <row r="367" spans="1:13" x14ac:dyDescent="0.35">
      <c r="A367" s="44" t="str">
        <f t="shared" si="15"/>
        <v>June 2026</v>
      </c>
      <c r="B367" s="43">
        <v>46187</v>
      </c>
      <c r="C367" s="42" t="s">
        <v>148</v>
      </c>
      <c r="D367" s="42" t="s">
        <v>91</v>
      </c>
      <c r="E367" s="42" t="s">
        <v>54</v>
      </c>
      <c r="F367" s="42" t="s">
        <v>44</v>
      </c>
      <c r="G367" s="41">
        <v>200</v>
      </c>
      <c r="H367" s="41"/>
      <c r="I367" s="40">
        <f>IF(B367="","",IF(I366="",MASTER!$C$7,I366)+N(H367)-N(G367))</f>
        <v>2396</v>
      </c>
      <c r="J367" s="39">
        <v>19000</v>
      </c>
      <c r="K367" s="22">
        <f t="shared" si="16"/>
        <v>3800000</v>
      </c>
      <c r="L367" s="38" t="str">
        <f t="shared" si="17"/>
        <v/>
      </c>
      <c r="M367" s="37"/>
    </row>
    <row r="368" spans="1:13" x14ac:dyDescent="0.35">
      <c r="A368" s="44" t="str">
        <f t="shared" si="15"/>
        <v>June 2026</v>
      </c>
      <c r="B368" s="43">
        <v>46187</v>
      </c>
      <c r="C368" s="42" t="s">
        <v>147</v>
      </c>
      <c r="D368" s="42" t="s">
        <v>91</v>
      </c>
      <c r="E368" s="42" t="s">
        <v>54</v>
      </c>
      <c r="F368" s="42" t="s">
        <v>44</v>
      </c>
      <c r="G368" s="41">
        <v>200</v>
      </c>
      <c r="H368" s="41"/>
      <c r="I368" s="40">
        <f>IF(B368="","",IF(I367="",MASTER!$C$7,I367)+N(H368)-N(G368))</f>
        <v>2196</v>
      </c>
      <c r="J368" s="39">
        <v>19000</v>
      </c>
      <c r="K368" s="22">
        <f t="shared" si="16"/>
        <v>3800000</v>
      </c>
      <c r="L368" s="38" t="str">
        <f t="shared" si="17"/>
        <v/>
      </c>
      <c r="M368" s="37"/>
    </row>
    <row r="369" spans="1:13" x14ac:dyDescent="0.35">
      <c r="A369" s="44" t="str">
        <f t="shared" si="15"/>
        <v>June 2026</v>
      </c>
      <c r="B369" s="43">
        <v>46187</v>
      </c>
      <c r="C369" s="42" t="s">
        <v>146</v>
      </c>
      <c r="D369" s="42" t="s">
        <v>91</v>
      </c>
      <c r="E369" s="42" t="s">
        <v>54</v>
      </c>
      <c r="F369" s="42" t="s">
        <v>44</v>
      </c>
      <c r="G369" s="41">
        <v>100</v>
      </c>
      <c r="H369" s="41"/>
      <c r="I369" s="40">
        <f>IF(B369="","",IF(I368="",MASTER!$C$7,I368)+N(H369)-N(G369))</f>
        <v>2096</v>
      </c>
      <c r="J369" s="39">
        <v>19000</v>
      </c>
      <c r="K369" s="22">
        <f t="shared" si="16"/>
        <v>1900000</v>
      </c>
      <c r="L369" s="38" t="str">
        <f t="shared" si="17"/>
        <v/>
      </c>
      <c r="M369" s="37"/>
    </row>
    <row r="370" spans="1:13" x14ac:dyDescent="0.35">
      <c r="A370" s="44" t="str">
        <f t="shared" si="15"/>
        <v>June 2026</v>
      </c>
      <c r="B370" s="43">
        <v>46187</v>
      </c>
      <c r="C370" s="42" t="s">
        <v>133</v>
      </c>
      <c r="D370" s="42" t="s">
        <v>91</v>
      </c>
      <c r="E370" s="42" t="s">
        <v>54</v>
      </c>
      <c r="F370" s="42" t="s">
        <v>44</v>
      </c>
      <c r="G370" s="41">
        <v>100</v>
      </c>
      <c r="H370" s="41"/>
      <c r="I370" s="40">
        <f>IF(B370="","",IF(I369="",MASTER!$C$7,I369)+N(H370)-N(G370))</f>
        <v>1996</v>
      </c>
      <c r="J370" s="39">
        <v>19000</v>
      </c>
      <c r="K370" s="22">
        <f t="shared" si="16"/>
        <v>1900000</v>
      </c>
      <c r="L370" s="38" t="str">
        <f t="shared" si="17"/>
        <v/>
      </c>
      <c r="M370" s="37"/>
    </row>
    <row r="371" spans="1:13" x14ac:dyDescent="0.35">
      <c r="A371" s="44" t="str">
        <f t="shared" si="15"/>
        <v>June 2026</v>
      </c>
      <c r="B371" s="43">
        <v>46187</v>
      </c>
      <c r="C371" s="42" t="s">
        <v>145</v>
      </c>
      <c r="D371" s="42" t="s">
        <v>144</v>
      </c>
      <c r="E371" s="42" t="s">
        <v>141</v>
      </c>
      <c r="F371" s="42" t="s">
        <v>44</v>
      </c>
      <c r="G371" s="41">
        <v>100</v>
      </c>
      <c r="H371" s="41"/>
      <c r="I371" s="40">
        <f>IF(B371="","",IF(I370="",MASTER!$C$7,I370)+N(H371)-N(G371))</f>
        <v>1896</v>
      </c>
      <c r="J371" s="39">
        <v>19000</v>
      </c>
      <c r="K371" s="22">
        <f t="shared" si="16"/>
        <v>1900000</v>
      </c>
      <c r="L371" s="38" t="str">
        <f t="shared" si="17"/>
        <v/>
      </c>
      <c r="M371" s="37"/>
    </row>
    <row r="372" spans="1:13" x14ac:dyDescent="0.35">
      <c r="A372" s="44" t="str">
        <f t="shared" si="15"/>
        <v>June 2026</v>
      </c>
      <c r="B372" s="43">
        <v>46187</v>
      </c>
      <c r="C372" s="42" t="s">
        <v>143</v>
      </c>
      <c r="D372" s="42" t="s">
        <v>142</v>
      </c>
      <c r="E372" s="42" t="s">
        <v>141</v>
      </c>
      <c r="F372" s="42" t="s">
        <v>44</v>
      </c>
      <c r="G372" s="41">
        <v>100</v>
      </c>
      <c r="H372" s="41"/>
      <c r="I372" s="40">
        <f>IF(B372="","",IF(I371="",MASTER!$C$7,I371)+N(H372)-N(G372))</f>
        <v>1796</v>
      </c>
      <c r="J372" s="39">
        <v>19000</v>
      </c>
      <c r="K372" s="22">
        <f t="shared" si="16"/>
        <v>1900000</v>
      </c>
      <c r="L372" s="38" t="str">
        <f t="shared" si="17"/>
        <v/>
      </c>
      <c r="M372" s="37"/>
    </row>
    <row r="373" spans="1:13" x14ac:dyDescent="0.35">
      <c r="A373" s="44" t="str">
        <f t="shared" si="15"/>
        <v>June 2026</v>
      </c>
      <c r="B373" s="43">
        <v>46188</v>
      </c>
      <c r="C373" s="42" t="s">
        <v>49</v>
      </c>
      <c r="D373" s="42" t="s">
        <v>140</v>
      </c>
      <c r="E373" s="42" t="s">
        <v>54</v>
      </c>
      <c r="F373" s="42" t="s">
        <v>44</v>
      </c>
      <c r="G373" s="41">
        <v>200</v>
      </c>
      <c r="H373" s="41"/>
      <c r="I373" s="40">
        <f>IF(B373="","",IF(I372="",MASTER!$C$7,I372)+N(H373)-N(G373))</f>
        <v>1596</v>
      </c>
      <c r="J373" s="39">
        <v>19000</v>
      </c>
      <c r="K373" s="22">
        <f t="shared" si="16"/>
        <v>3800000</v>
      </c>
      <c r="L373" s="38" t="str">
        <f t="shared" si="17"/>
        <v/>
      </c>
      <c r="M373" s="37"/>
    </row>
    <row r="374" spans="1:13" x14ac:dyDescent="0.35">
      <c r="A374" s="44" t="str">
        <f t="shared" si="15"/>
        <v>June 2026</v>
      </c>
      <c r="B374" s="43">
        <v>46188</v>
      </c>
      <c r="C374" s="42" t="s">
        <v>139</v>
      </c>
      <c r="D374" s="42" t="s">
        <v>138</v>
      </c>
      <c r="E374" s="42" t="s">
        <v>54</v>
      </c>
      <c r="F374" s="42" t="s">
        <v>44</v>
      </c>
      <c r="G374" s="41">
        <v>400</v>
      </c>
      <c r="H374" s="41"/>
      <c r="I374" s="40">
        <f>IF(B374="","",IF(I373="",MASTER!$C$7,I373)+N(H374)-N(G374))</f>
        <v>1196</v>
      </c>
      <c r="J374" s="39">
        <v>19000</v>
      </c>
      <c r="K374" s="22">
        <f t="shared" si="16"/>
        <v>7600000</v>
      </c>
      <c r="L374" s="38" t="str">
        <f t="shared" si="17"/>
        <v/>
      </c>
      <c r="M374" s="37"/>
    </row>
    <row r="375" spans="1:13" x14ac:dyDescent="0.35">
      <c r="A375" s="44" t="str">
        <f t="shared" si="15"/>
        <v>June 2026</v>
      </c>
      <c r="B375" s="43">
        <v>46188</v>
      </c>
      <c r="C375" s="42" t="s">
        <v>108</v>
      </c>
      <c r="D375" s="42" t="s">
        <v>137</v>
      </c>
      <c r="E375" s="42" t="s">
        <v>54</v>
      </c>
      <c r="F375" s="42" t="s">
        <v>44</v>
      </c>
      <c r="G375" s="41">
        <v>200</v>
      </c>
      <c r="H375" s="41"/>
      <c r="I375" s="40">
        <f>IF(B375="","",IF(I374="",MASTER!$C$7,I374)+N(H375)-N(G375))</f>
        <v>996</v>
      </c>
      <c r="J375" s="39">
        <v>19000</v>
      </c>
      <c r="K375" s="22">
        <f t="shared" si="16"/>
        <v>3800000</v>
      </c>
      <c r="L375" s="38" t="str">
        <f t="shared" si="17"/>
        <v/>
      </c>
      <c r="M375" s="37"/>
    </row>
    <row r="376" spans="1:13" x14ac:dyDescent="0.35">
      <c r="A376" s="44" t="str">
        <f t="shared" si="15"/>
        <v>June 2026</v>
      </c>
      <c r="B376" s="43">
        <v>46188</v>
      </c>
      <c r="C376" s="42" t="s">
        <v>133</v>
      </c>
      <c r="D376" s="42" t="s">
        <v>91</v>
      </c>
      <c r="E376" s="42" t="s">
        <v>54</v>
      </c>
      <c r="F376" s="42" t="s">
        <v>44</v>
      </c>
      <c r="G376" s="41">
        <v>80</v>
      </c>
      <c r="H376" s="41"/>
      <c r="I376" s="40">
        <f>IF(B376="","",IF(I375="",MASTER!$C$7,I375)+N(H376)-N(G376))</f>
        <v>916</v>
      </c>
      <c r="J376" s="39">
        <v>19000</v>
      </c>
      <c r="K376" s="22">
        <f t="shared" si="16"/>
        <v>1520000</v>
      </c>
      <c r="L376" s="38" t="str">
        <f t="shared" si="17"/>
        <v/>
      </c>
      <c r="M376" s="37"/>
    </row>
    <row r="377" spans="1:13" x14ac:dyDescent="0.35">
      <c r="A377" s="44" t="str">
        <f t="shared" si="15"/>
        <v>June 2026</v>
      </c>
      <c r="B377" s="43">
        <v>46188</v>
      </c>
      <c r="C377" s="42" t="s">
        <v>134</v>
      </c>
      <c r="D377" s="42" t="s">
        <v>91</v>
      </c>
      <c r="E377" s="42" t="s">
        <v>54</v>
      </c>
      <c r="F377" s="42" t="s">
        <v>44</v>
      </c>
      <c r="G377" s="41">
        <v>80</v>
      </c>
      <c r="H377" s="41"/>
      <c r="I377" s="40">
        <f>IF(B377="","",IF(I376="",MASTER!$C$7,I376)+N(H377)-N(G377))</f>
        <v>836</v>
      </c>
      <c r="J377" s="39">
        <v>19000</v>
      </c>
      <c r="K377" s="22">
        <f t="shared" si="16"/>
        <v>1520000</v>
      </c>
      <c r="L377" s="38" t="str">
        <f t="shared" si="17"/>
        <v/>
      </c>
      <c r="M377" s="37"/>
    </row>
    <row r="378" spans="1:13" x14ac:dyDescent="0.35">
      <c r="A378" s="44" t="str">
        <f t="shared" si="15"/>
        <v>June 2026</v>
      </c>
      <c r="B378" s="43">
        <v>46189</v>
      </c>
      <c r="C378" s="42" t="s">
        <v>136</v>
      </c>
      <c r="D378" s="42" t="s">
        <v>135</v>
      </c>
      <c r="E378" s="42" t="s">
        <v>54</v>
      </c>
      <c r="F378" s="42" t="s">
        <v>44</v>
      </c>
      <c r="G378" s="41">
        <v>200</v>
      </c>
      <c r="H378" s="41"/>
      <c r="I378" s="40">
        <f>IF(B378="","",IF(I377="",MASTER!$C$7,I377)+N(H378)-N(G378))</f>
        <v>636</v>
      </c>
      <c r="J378" s="39">
        <v>19000</v>
      </c>
      <c r="K378" s="22">
        <f t="shared" si="16"/>
        <v>3800000</v>
      </c>
      <c r="L378" s="38" t="str">
        <f t="shared" si="17"/>
        <v/>
      </c>
      <c r="M378" s="37"/>
    </row>
    <row r="379" spans="1:13" x14ac:dyDescent="0.35">
      <c r="A379" s="44" t="str">
        <f t="shared" si="15"/>
        <v>June 2026</v>
      </c>
      <c r="B379" s="43">
        <v>46189</v>
      </c>
      <c r="C379" s="42" t="s">
        <v>134</v>
      </c>
      <c r="D379" s="42" t="s">
        <v>91</v>
      </c>
      <c r="E379" s="42" t="s">
        <v>54</v>
      </c>
      <c r="F379" s="42" t="s">
        <v>44</v>
      </c>
      <c r="G379" s="41">
        <v>50</v>
      </c>
      <c r="H379" s="41"/>
      <c r="I379" s="40">
        <f>IF(B379="","",IF(I378="",MASTER!$C$7,I378)+N(H379)-N(G379))</f>
        <v>586</v>
      </c>
      <c r="J379" s="39">
        <v>19000</v>
      </c>
      <c r="K379" s="22">
        <f t="shared" si="16"/>
        <v>950000</v>
      </c>
      <c r="L379" s="38" t="str">
        <f t="shared" si="17"/>
        <v/>
      </c>
      <c r="M379" s="37"/>
    </row>
    <row r="380" spans="1:13" x14ac:dyDescent="0.35">
      <c r="A380" s="44" t="str">
        <f t="shared" si="15"/>
        <v>June 2026</v>
      </c>
      <c r="B380" s="43">
        <v>46189</v>
      </c>
      <c r="C380" s="42" t="s">
        <v>133</v>
      </c>
      <c r="D380" s="42" t="s">
        <v>91</v>
      </c>
      <c r="E380" s="42" t="s">
        <v>54</v>
      </c>
      <c r="F380" s="42" t="s">
        <v>44</v>
      </c>
      <c r="G380" s="41">
        <v>50</v>
      </c>
      <c r="H380" s="41"/>
      <c r="I380" s="40">
        <f>IF(B380="","",IF(I379="",MASTER!$C$7,I379)+N(H380)-N(G380))</f>
        <v>536</v>
      </c>
      <c r="J380" s="39">
        <v>19000</v>
      </c>
      <c r="K380" s="22">
        <f t="shared" si="16"/>
        <v>950000</v>
      </c>
      <c r="L380" s="38" t="str">
        <f t="shared" si="17"/>
        <v/>
      </c>
      <c r="M380" s="37"/>
    </row>
    <row r="381" spans="1:13" x14ac:dyDescent="0.35">
      <c r="A381" s="44" t="str">
        <f t="shared" si="15"/>
        <v>June 2026</v>
      </c>
      <c r="B381" s="43">
        <v>46190</v>
      </c>
      <c r="C381" s="42" t="s">
        <v>108</v>
      </c>
      <c r="D381" s="42" t="s">
        <v>132</v>
      </c>
      <c r="E381" s="42" t="s">
        <v>54</v>
      </c>
      <c r="F381" s="42" t="s">
        <v>44</v>
      </c>
      <c r="G381" s="41">
        <v>196</v>
      </c>
      <c r="H381" s="41"/>
      <c r="I381" s="40">
        <f>IF(B381="","",IF(I380="",MASTER!$C$7,I380)+N(H381)-N(G381))</f>
        <v>340</v>
      </c>
      <c r="J381" s="39">
        <v>19000</v>
      </c>
      <c r="K381" s="22">
        <f t="shared" si="16"/>
        <v>3724000</v>
      </c>
      <c r="L381" s="38" t="str">
        <f t="shared" si="17"/>
        <v/>
      </c>
      <c r="M381" s="37"/>
    </row>
    <row r="382" spans="1:13" x14ac:dyDescent="0.35">
      <c r="A382" s="44" t="str">
        <f t="shared" si="15"/>
        <v>June 2026</v>
      </c>
      <c r="B382" s="43">
        <v>46191</v>
      </c>
      <c r="C382" s="42" t="s">
        <v>99</v>
      </c>
      <c r="D382" s="42" t="s">
        <v>124</v>
      </c>
      <c r="E382" s="42" t="s">
        <v>124</v>
      </c>
      <c r="F382" s="42" t="s">
        <v>44</v>
      </c>
      <c r="G382" s="41">
        <v>125</v>
      </c>
      <c r="H382" s="41">
        <v>5000</v>
      </c>
      <c r="I382" s="40">
        <f>IF(B382="","",IF(I381="",MASTER!$C$7,I381)+N(H382)-N(G382))</f>
        <v>5215</v>
      </c>
      <c r="J382" s="39">
        <v>17000</v>
      </c>
      <c r="K382" s="22">
        <f t="shared" si="16"/>
        <v>2125000</v>
      </c>
      <c r="L382" s="38">
        <f t="shared" si="17"/>
        <v>85000000</v>
      </c>
      <c r="M382" s="37"/>
    </row>
    <row r="383" spans="1:13" x14ac:dyDescent="0.35">
      <c r="A383" s="44" t="str">
        <f t="shared" si="15"/>
        <v>June 2026</v>
      </c>
      <c r="B383" s="43">
        <v>46191</v>
      </c>
      <c r="C383" s="42" t="s">
        <v>99</v>
      </c>
      <c r="D383" s="42" t="s">
        <v>124</v>
      </c>
      <c r="E383" s="42" t="s">
        <v>124</v>
      </c>
      <c r="F383" s="42" t="s">
        <v>44</v>
      </c>
      <c r="G383" s="41">
        <v>125</v>
      </c>
      <c r="H383" s="41">
        <v>0</v>
      </c>
      <c r="I383" s="40">
        <f>IF(B383="","",IF(I382="",MASTER!$C$7,I382)+N(H383)-N(G383))</f>
        <v>5090</v>
      </c>
      <c r="J383" s="39">
        <v>17000</v>
      </c>
      <c r="K383" s="22">
        <f t="shared" si="16"/>
        <v>2125000</v>
      </c>
      <c r="L383" s="38">
        <f t="shared" si="17"/>
        <v>0</v>
      </c>
      <c r="M383" s="37"/>
    </row>
    <row r="384" spans="1:13" x14ac:dyDescent="0.35">
      <c r="A384" s="44" t="str">
        <f t="shared" si="15"/>
        <v>June 2026</v>
      </c>
      <c r="B384" s="43">
        <v>46191</v>
      </c>
      <c r="C384" s="42" t="s">
        <v>131</v>
      </c>
      <c r="D384" s="42" t="s">
        <v>107</v>
      </c>
      <c r="E384" s="42" t="s">
        <v>107</v>
      </c>
      <c r="F384" s="42" t="s">
        <v>44</v>
      </c>
      <c r="G384" s="41">
        <v>210</v>
      </c>
      <c r="H384" s="41">
        <v>5000</v>
      </c>
      <c r="I384" s="40">
        <f>IF(B384="","",IF(I383="",MASTER!$C$7,I383)+N(H384)-N(G384))</f>
        <v>9880</v>
      </c>
      <c r="J384" s="39">
        <v>17000</v>
      </c>
      <c r="K384" s="22">
        <f t="shared" si="16"/>
        <v>3570000</v>
      </c>
      <c r="L384" s="38">
        <f t="shared" si="17"/>
        <v>85000000</v>
      </c>
      <c r="M384" s="37"/>
    </row>
    <row r="385" spans="1:13" x14ac:dyDescent="0.35">
      <c r="A385" s="44" t="str">
        <f t="shared" si="15"/>
        <v>June 2026</v>
      </c>
      <c r="B385" s="43">
        <v>46191</v>
      </c>
      <c r="C385" s="42" t="s">
        <v>130</v>
      </c>
      <c r="D385" s="42" t="s">
        <v>107</v>
      </c>
      <c r="E385" s="42" t="s">
        <v>107</v>
      </c>
      <c r="F385" s="42" t="s">
        <v>44</v>
      </c>
      <c r="G385" s="41">
        <v>35</v>
      </c>
      <c r="H385" s="41">
        <v>0</v>
      </c>
      <c r="I385" s="40">
        <f>IF(B385="","",IF(I384="",MASTER!$C$7,I384)+N(H385)-N(G385))</f>
        <v>9845</v>
      </c>
      <c r="J385" s="39">
        <v>17000</v>
      </c>
      <c r="K385" s="22">
        <f t="shared" si="16"/>
        <v>595000</v>
      </c>
      <c r="L385" s="38">
        <f t="shared" si="17"/>
        <v>0</v>
      </c>
      <c r="M385" s="37"/>
    </row>
    <row r="386" spans="1:13" x14ac:dyDescent="0.35">
      <c r="A386" s="44" t="str">
        <f t="shared" si="15"/>
        <v>June 2026</v>
      </c>
      <c r="B386" s="43">
        <v>46192</v>
      </c>
      <c r="C386" s="42" t="s">
        <v>68</v>
      </c>
      <c r="D386" s="42" t="s">
        <v>107</v>
      </c>
      <c r="E386" s="42" t="s">
        <v>107</v>
      </c>
      <c r="F386" s="42" t="s">
        <v>44</v>
      </c>
      <c r="G386" s="41">
        <v>370</v>
      </c>
      <c r="H386" s="41">
        <v>0</v>
      </c>
      <c r="I386" s="40">
        <f>IF(B386="","",IF(I385="",MASTER!$C$7,I385)+N(H386)-N(G386))</f>
        <v>9475</v>
      </c>
      <c r="J386" s="39">
        <v>17000</v>
      </c>
      <c r="K386" s="22">
        <f t="shared" si="16"/>
        <v>6290000</v>
      </c>
      <c r="L386" s="38">
        <f t="shared" si="17"/>
        <v>0</v>
      </c>
      <c r="M386" s="37"/>
    </row>
    <row r="387" spans="1:13" x14ac:dyDescent="0.35">
      <c r="A387" s="44" t="str">
        <f t="shared" ref="A387:A450" si="18">IF(B387="","",TEXT(B387,"MMMM YYYY"))</f>
        <v>June 2026</v>
      </c>
      <c r="B387" s="43">
        <v>46192</v>
      </c>
      <c r="C387" s="42" t="s">
        <v>58</v>
      </c>
      <c r="D387" s="42" t="s">
        <v>32</v>
      </c>
      <c r="E387" s="42" t="s">
        <v>32</v>
      </c>
      <c r="F387" s="42" t="s">
        <v>44</v>
      </c>
      <c r="G387" s="41">
        <v>175</v>
      </c>
      <c r="H387" s="41">
        <v>0</v>
      </c>
      <c r="I387" s="40">
        <f>IF(B387="","",IF(I386="",MASTER!$C$7,I386)+N(H387)-N(G387))</f>
        <v>9300</v>
      </c>
      <c r="J387" s="39">
        <v>17000</v>
      </c>
      <c r="K387" s="22">
        <f t="shared" ref="K387:K450" si="19">IF(OR(B387="",J387=""),"",N(G387)*J387)</f>
        <v>2975000</v>
      </c>
      <c r="L387" s="38">
        <f t="shared" ref="L387:L450" si="20">IF(OR(B387="",H387="",J387=""),"",N(H387)*J387)</f>
        <v>0</v>
      </c>
      <c r="M387" s="37"/>
    </row>
    <row r="388" spans="1:13" x14ac:dyDescent="0.35">
      <c r="A388" s="44" t="str">
        <f t="shared" si="18"/>
        <v>June 2026</v>
      </c>
      <c r="B388" s="43">
        <v>46193</v>
      </c>
      <c r="C388" s="42" t="s">
        <v>129</v>
      </c>
      <c r="D388" s="42" t="s">
        <v>107</v>
      </c>
      <c r="E388" s="42" t="s">
        <v>107</v>
      </c>
      <c r="F388" s="42" t="s">
        <v>44</v>
      </c>
      <c r="G388" s="41">
        <v>385</v>
      </c>
      <c r="H388" s="41">
        <v>0</v>
      </c>
      <c r="I388" s="40">
        <f>IF(B388="","",IF(I387="",MASTER!$C$7,I387)+N(H388)-N(G388))</f>
        <v>8915</v>
      </c>
      <c r="J388" s="39">
        <v>17000</v>
      </c>
      <c r="K388" s="22">
        <f t="shared" si="19"/>
        <v>6545000</v>
      </c>
      <c r="L388" s="38">
        <f t="shared" si="20"/>
        <v>0</v>
      </c>
      <c r="M388" s="37"/>
    </row>
    <row r="389" spans="1:13" x14ac:dyDescent="0.35">
      <c r="A389" s="44" t="str">
        <f t="shared" si="18"/>
        <v>June 2026</v>
      </c>
      <c r="B389" s="43">
        <v>46193</v>
      </c>
      <c r="C389" s="42" t="s">
        <v>77</v>
      </c>
      <c r="D389" s="42" t="s">
        <v>72</v>
      </c>
      <c r="E389" s="42" t="s">
        <v>72</v>
      </c>
      <c r="F389" s="42" t="s">
        <v>44</v>
      </c>
      <c r="G389" s="41">
        <v>315</v>
      </c>
      <c r="H389" s="41">
        <v>0</v>
      </c>
      <c r="I389" s="40">
        <f>IF(B389="","",IF(I388="",MASTER!$C$7,I388)+N(H389)-N(G389))</f>
        <v>8600</v>
      </c>
      <c r="J389" s="39">
        <v>17000</v>
      </c>
      <c r="K389" s="22">
        <f t="shared" si="19"/>
        <v>5355000</v>
      </c>
      <c r="L389" s="38">
        <f t="shared" si="20"/>
        <v>0</v>
      </c>
      <c r="M389" s="37"/>
    </row>
    <row r="390" spans="1:13" x14ac:dyDescent="0.35">
      <c r="A390" s="44" t="str">
        <f t="shared" si="18"/>
        <v>June 2026</v>
      </c>
      <c r="B390" s="43">
        <v>46193</v>
      </c>
      <c r="C390" s="42" t="s">
        <v>77</v>
      </c>
      <c r="D390" s="42" t="s">
        <v>72</v>
      </c>
      <c r="E390" s="42" t="s">
        <v>72</v>
      </c>
      <c r="F390" s="42" t="s">
        <v>44</v>
      </c>
      <c r="G390" s="41">
        <v>20</v>
      </c>
      <c r="H390" s="41">
        <v>0</v>
      </c>
      <c r="I390" s="40">
        <f>IF(B390="","",IF(I389="",MASTER!$C$7,I389)+N(H390)-N(G390))</f>
        <v>8580</v>
      </c>
      <c r="J390" s="39">
        <v>17000</v>
      </c>
      <c r="K390" s="22">
        <f t="shared" si="19"/>
        <v>340000</v>
      </c>
      <c r="L390" s="38">
        <f t="shared" si="20"/>
        <v>0</v>
      </c>
      <c r="M390" s="37"/>
    </row>
    <row r="391" spans="1:13" x14ac:dyDescent="0.35">
      <c r="A391" s="44" t="str">
        <f t="shared" si="18"/>
        <v>June 2026</v>
      </c>
      <c r="B391" s="43">
        <v>46193</v>
      </c>
      <c r="C391" s="42" t="s">
        <v>77</v>
      </c>
      <c r="D391" s="42" t="s">
        <v>72</v>
      </c>
      <c r="E391" s="42" t="s">
        <v>72</v>
      </c>
      <c r="F391" s="42" t="s">
        <v>44</v>
      </c>
      <c r="G391" s="41">
        <v>105</v>
      </c>
      <c r="H391" s="41">
        <v>0</v>
      </c>
      <c r="I391" s="40">
        <f>IF(B391="","",IF(I390="",MASTER!$C$7,I390)+N(H391)-N(G391))</f>
        <v>8475</v>
      </c>
      <c r="J391" s="39">
        <v>17000</v>
      </c>
      <c r="K391" s="22">
        <f t="shared" si="19"/>
        <v>1785000</v>
      </c>
      <c r="L391" s="38">
        <f t="shared" si="20"/>
        <v>0</v>
      </c>
      <c r="M391" s="37"/>
    </row>
    <row r="392" spans="1:13" x14ac:dyDescent="0.35">
      <c r="A392" s="44" t="str">
        <f t="shared" si="18"/>
        <v>June 2026</v>
      </c>
      <c r="B392" s="43">
        <v>46193</v>
      </c>
      <c r="C392" s="42" t="s">
        <v>68</v>
      </c>
      <c r="D392" s="42" t="s">
        <v>105</v>
      </c>
      <c r="E392" s="42" t="s">
        <v>105</v>
      </c>
      <c r="F392" s="42" t="s">
        <v>44</v>
      </c>
      <c r="G392" s="41">
        <v>105</v>
      </c>
      <c r="H392" s="41">
        <v>0</v>
      </c>
      <c r="I392" s="40">
        <f>IF(B392="","",IF(I391="",MASTER!$C$7,I391)+N(H392)-N(G392))</f>
        <v>8370</v>
      </c>
      <c r="J392" s="39">
        <v>17000</v>
      </c>
      <c r="K392" s="22">
        <f t="shared" si="19"/>
        <v>1785000</v>
      </c>
      <c r="L392" s="38">
        <f t="shared" si="20"/>
        <v>0</v>
      </c>
      <c r="M392" s="37"/>
    </row>
    <row r="393" spans="1:13" x14ac:dyDescent="0.35">
      <c r="A393" s="44" t="str">
        <f t="shared" si="18"/>
        <v>June 2026</v>
      </c>
      <c r="B393" s="43">
        <v>46193</v>
      </c>
      <c r="C393" s="42" t="s">
        <v>89</v>
      </c>
      <c r="D393" s="42" t="s">
        <v>30</v>
      </c>
      <c r="E393" s="42" t="s">
        <v>30</v>
      </c>
      <c r="F393" s="42" t="s">
        <v>44</v>
      </c>
      <c r="G393" s="41">
        <v>252</v>
      </c>
      <c r="H393" s="41">
        <v>0</v>
      </c>
      <c r="I393" s="40">
        <f>IF(B393="","",IF(I392="",MASTER!$C$7,I392)+N(H393)-N(G393))</f>
        <v>8118</v>
      </c>
      <c r="J393" s="39">
        <v>17000</v>
      </c>
      <c r="K393" s="22">
        <f t="shared" si="19"/>
        <v>4284000</v>
      </c>
      <c r="L393" s="38">
        <f t="shared" si="20"/>
        <v>0</v>
      </c>
      <c r="M393" s="37"/>
    </row>
    <row r="394" spans="1:13" x14ac:dyDescent="0.35">
      <c r="A394" s="44" t="str">
        <f t="shared" si="18"/>
        <v>June 2026</v>
      </c>
      <c r="B394" s="43">
        <v>46194</v>
      </c>
      <c r="C394" s="42" t="s">
        <v>89</v>
      </c>
      <c r="D394" s="42" t="s">
        <v>124</v>
      </c>
      <c r="E394" s="42" t="s">
        <v>124</v>
      </c>
      <c r="F394" s="42" t="s">
        <v>44</v>
      </c>
      <c r="G394" s="41">
        <v>420</v>
      </c>
      <c r="H394" s="41">
        <v>5000</v>
      </c>
      <c r="I394" s="40">
        <f>IF(B394="","",IF(I393="",MASTER!$C$7,I393)+N(H394)-N(G394))</f>
        <v>12698</v>
      </c>
      <c r="J394" s="39">
        <v>17000</v>
      </c>
      <c r="K394" s="22">
        <f t="shared" si="19"/>
        <v>7140000</v>
      </c>
      <c r="L394" s="38">
        <f t="shared" si="20"/>
        <v>85000000</v>
      </c>
      <c r="M394" s="37"/>
    </row>
    <row r="395" spans="1:13" x14ac:dyDescent="0.35">
      <c r="A395" s="44" t="str">
        <f t="shared" si="18"/>
        <v>June 2026</v>
      </c>
      <c r="B395" s="43">
        <v>46194</v>
      </c>
      <c r="C395" s="42" t="s">
        <v>93</v>
      </c>
      <c r="D395" s="42" t="s">
        <v>128</v>
      </c>
      <c r="E395" s="42" t="s">
        <v>128</v>
      </c>
      <c r="F395" s="42" t="s">
        <v>44</v>
      </c>
      <c r="G395" s="41">
        <v>420</v>
      </c>
      <c r="H395" s="41">
        <v>0</v>
      </c>
      <c r="I395" s="40">
        <f>IF(B395="","",IF(I394="",MASTER!$C$7,I394)+N(H395)-N(G395))</f>
        <v>12278</v>
      </c>
      <c r="J395" s="39">
        <v>17000</v>
      </c>
      <c r="K395" s="22">
        <f t="shared" si="19"/>
        <v>7140000</v>
      </c>
      <c r="L395" s="38">
        <f t="shared" si="20"/>
        <v>0</v>
      </c>
      <c r="M395" s="37"/>
    </row>
    <row r="396" spans="1:13" x14ac:dyDescent="0.35">
      <c r="A396" s="44" t="str">
        <f t="shared" si="18"/>
        <v>June 2026</v>
      </c>
      <c r="B396" s="43">
        <v>46195</v>
      </c>
      <c r="C396" s="42" t="s">
        <v>127</v>
      </c>
      <c r="D396" s="42" t="s">
        <v>30</v>
      </c>
      <c r="E396" s="42" t="s">
        <v>30</v>
      </c>
      <c r="F396" s="42" t="s">
        <v>44</v>
      </c>
      <c r="G396" s="41">
        <v>68</v>
      </c>
      <c r="H396" s="41">
        <v>0</v>
      </c>
      <c r="I396" s="40">
        <f>IF(B396="","",IF(I395="",MASTER!$C$7,I395)+N(H396)-N(G396))</f>
        <v>12210</v>
      </c>
      <c r="J396" s="39">
        <v>17000</v>
      </c>
      <c r="K396" s="22">
        <f t="shared" si="19"/>
        <v>1156000</v>
      </c>
      <c r="L396" s="38">
        <f t="shared" si="20"/>
        <v>0</v>
      </c>
      <c r="M396" s="37"/>
    </row>
    <row r="397" spans="1:13" x14ac:dyDescent="0.35">
      <c r="A397" s="44" t="str">
        <f t="shared" si="18"/>
        <v>June 2026</v>
      </c>
      <c r="B397" s="43">
        <v>46195</v>
      </c>
      <c r="C397" s="42" t="s">
        <v>93</v>
      </c>
      <c r="D397" s="42" t="s">
        <v>97</v>
      </c>
      <c r="E397" s="42" t="s">
        <v>97</v>
      </c>
      <c r="F397" s="42" t="s">
        <v>44</v>
      </c>
      <c r="G397" s="41">
        <v>40</v>
      </c>
      <c r="H397" s="41">
        <v>0</v>
      </c>
      <c r="I397" s="40">
        <f>IF(B397="","",IF(I396="",MASTER!$C$7,I396)+N(H397)-N(G397))</f>
        <v>12170</v>
      </c>
      <c r="J397" s="39">
        <v>17000</v>
      </c>
      <c r="K397" s="22">
        <f t="shared" si="19"/>
        <v>680000</v>
      </c>
      <c r="L397" s="38">
        <f t="shared" si="20"/>
        <v>0</v>
      </c>
      <c r="M397" s="37"/>
    </row>
    <row r="398" spans="1:13" x14ac:dyDescent="0.35">
      <c r="A398" s="44" t="str">
        <f t="shared" si="18"/>
        <v>June 2026</v>
      </c>
      <c r="B398" s="43">
        <v>46196</v>
      </c>
      <c r="C398" s="42" t="s">
        <v>93</v>
      </c>
      <c r="D398" s="42" t="s">
        <v>124</v>
      </c>
      <c r="E398" s="42" t="s">
        <v>124</v>
      </c>
      <c r="F398" s="42" t="s">
        <v>44</v>
      </c>
      <c r="G398" s="41">
        <v>210</v>
      </c>
      <c r="H398" s="41">
        <v>0</v>
      </c>
      <c r="I398" s="40">
        <f>IF(B398="","",IF(I397="",MASTER!$C$7,I397)+N(H398)-N(G398))</f>
        <v>11960</v>
      </c>
      <c r="J398" s="39">
        <v>17000</v>
      </c>
      <c r="K398" s="22">
        <f t="shared" si="19"/>
        <v>3570000</v>
      </c>
      <c r="L398" s="38">
        <f t="shared" si="20"/>
        <v>0</v>
      </c>
      <c r="M398" s="37"/>
    </row>
    <row r="399" spans="1:13" x14ac:dyDescent="0.35">
      <c r="A399" s="44" t="str">
        <f t="shared" si="18"/>
        <v>June 2026</v>
      </c>
      <c r="B399" s="43">
        <v>46196</v>
      </c>
      <c r="C399" s="42" t="s">
        <v>93</v>
      </c>
      <c r="D399" s="42" t="s">
        <v>36</v>
      </c>
      <c r="E399" s="42" t="s">
        <v>36</v>
      </c>
      <c r="F399" s="42" t="s">
        <v>44</v>
      </c>
      <c r="G399" s="41">
        <v>105</v>
      </c>
      <c r="H399" s="41">
        <v>0</v>
      </c>
      <c r="I399" s="40">
        <f>IF(B399="","",IF(I398="",MASTER!$C$7,I398)+N(H399)-N(G399))</f>
        <v>11855</v>
      </c>
      <c r="J399" s="39">
        <v>17000</v>
      </c>
      <c r="K399" s="22">
        <f t="shared" si="19"/>
        <v>1785000</v>
      </c>
      <c r="L399" s="38">
        <f t="shared" si="20"/>
        <v>0</v>
      </c>
      <c r="M399" s="37"/>
    </row>
    <row r="400" spans="1:13" x14ac:dyDescent="0.35">
      <c r="A400" s="44" t="str">
        <f t="shared" si="18"/>
        <v>June 2026</v>
      </c>
      <c r="B400" s="43">
        <v>46196</v>
      </c>
      <c r="C400" s="42" t="s">
        <v>93</v>
      </c>
      <c r="D400" s="42" t="s">
        <v>32</v>
      </c>
      <c r="E400" s="42" t="s">
        <v>32</v>
      </c>
      <c r="F400" s="42" t="s">
        <v>44</v>
      </c>
      <c r="G400" s="41">
        <v>105</v>
      </c>
      <c r="H400" s="41">
        <v>0</v>
      </c>
      <c r="I400" s="40">
        <f>IF(B400="","",IF(I399="",MASTER!$C$7,I399)+N(H400)-N(G400))</f>
        <v>11750</v>
      </c>
      <c r="J400" s="39">
        <v>17000</v>
      </c>
      <c r="K400" s="22">
        <f t="shared" si="19"/>
        <v>1785000</v>
      </c>
      <c r="L400" s="38">
        <f t="shared" si="20"/>
        <v>0</v>
      </c>
      <c r="M400" s="37"/>
    </row>
    <row r="401" spans="1:13" x14ac:dyDescent="0.35">
      <c r="A401" s="44" t="str">
        <f t="shared" si="18"/>
        <v>June 2026</v>
      </c>
      <c r="B401" s="43">
        <v>46196</v>
      </c>
      <c r="C401" s="42" t="s">
        <v>50</v>
      </c>
      <c r="D401" s="42" t="s">
        <v>27</v>
      </c>
      <c r="E401" s="42" t="s">
        <v>27</v>
      </c>
      <c r="F401" s="42" t="s">
        <v>44</v>
      </c>
      <c r="G401" s="41">
        <v>245</v>
      </c>
      <c r="H401" s="41">
        <v>0</v>
      </c>
      <c r="I401" s="40">
        <f>IF(B401="","",IF(I400="",MASTER!$C$7,I400)+N(H401)-N(G401))</f>
        <v>11505</v>
      </c>
      <c r="J401" s="39">
        <v>17000</v>
      </c>
      <c r="K401" s="22">
        <f t="shared" si="19"/>
        <v>4165000</v>
      </c>
      <c r="L401" s="38">
        <f t="shared" si="20"/>
        <v>0</v>
      </c>
      <c r="M401" s="37"/>
    </row>
    <row r="402" spans="1:13" x14ac:dyDescent="0.35">
      <c r="A402" s="44" t="str">
        <f t="shared" si="18"/>
        <v>June 2026</v>
      </c>
      <c r="B402" s="43">
        <v>46197</v>
      </c>
      <c r="C402" s="42" t="s">
        <v>110</v>
      </c>
      <c r="D402" s="42" t="s">
        <v>124</v>
      </c>
      <c r="E402" s="42" t="s">
        <v>124</v>
      </c>
      <c r="F402" s="42" t="s">
        <v>44</v>
      </c>
      <c r="G402" s="41">
        <v>436</v>
      </c>
      <c r="H402" s="41">
        <v>0</v>
      </c>
      <c r="I402" s="40">
        <f>IF(B402="","",IF(I401="",MASTER!$C$7,I401)+N(H402)-N(G402))</f>
        <v>11069</v>
      </c>
      <c r="J402" s="39">
        <v>17000</v>
      </c>
      <c r="K402" s="22">
        <f t="shared" si="19"/>
        <v>7412000</v>
      </c>
      <c r="L402" s="38">
        <f t="shared" si="20"/>
        <v>0</v>
      </c>
      <c r="M402" s="37"/>
    </row>
    <row r="403" spans="1:13" x14ac:dyDescent="0.35">
      <c r="A403" s="44" t="str">
        <f t="shared" si="18"/>
        <v>June 2026</v>
      </c>
      <c r="B403" s="43">
        <v>46197</v>
      </c>
      <c r="C403" s="42" t="s">
        <v>108</v>
      </c>
      <c r="D403" s="42" t="s">
        <v>107</v>
      </c>
      <c r="E403" s="42" t="s">
        <v>107</v>
      </c>
      <c r="F403" s="42" t="s">
        <v>44</v>
      </c>
      <c r="G403" s="41">
        <v>407</v>
      </c>
      <c r="H403" s="41">
        <v>0</v>
      </c>
      <c r="I403" s="40">
        <f>IF(B403="","",IF(I402="",MASTER!$C$7,I402)+N(H403)-N(G403))</f>
        <v>10662</v>
      </c>
      <c r="J403" s="39">
        <v>17000</v>
      </c>
      <c r="K403" s="22">
        <f t="shared" si="19"/>
        <v>6919000</v>
      </c>
      <c r="L403" s="38">
        <f t="shared" si="20"/>
        <v>0</v>
      </c>
      <c r="M403" s="37"/>
    </row>
    <row r="404" spans="1:13" x14ac:dyDescent="0.35">
      <c r="A404" s="44" t="str">
        <f t="shared" si="18"/>
        <v>June 2026</v>
      </c>
      <c r="B404" s="43">
        <v>46197</v>
      </c>
      <c r="C404" s="42" t="s">
        <v>93</v>
      </c>
      <c r="D404" s="42" t="s">
        <v>32</v>
      </c>
      <c r="E404" s="42" t="s">
        <v>32</v>
      </c>
      <c r="F404" s="42" t="s">
        <v>44</v>
      </c>
      <c r="G404" s="41">
        <v>175</v>
      </c>
      <c r="H404" s="41">
        <v>0</v>
      </c>
      <c r="I404" s="40">
        <f>IF(B404="","",IF(I403="",MASTER!$C$7,I403)+N(H404)-N(G404))</f>
        <v>10487</v>
      </c>
      <c r="J404" s="39">
        <v>17000</v>
      </c>
      <c r="K404" s="22">
        <f t="shared" si="19"/>
        <v>2975000</v>
      </c>
      <c r="L404" s="38">
        <f t="shared" si="20"/>
        <v>0</v>
      </c>
      <c r="M404" s="37"/>
    </row>
    <row r="405" spans="1:13" x14ac:dyDescent="0.35">
      <c r="A405" s="44" t="str">
        <f t="shared" si="18"/>
        <v>June 2026</v>
      </c>
      <c r="B405" s="43">
        <v>46197</v>
      </c>
      <c r="C405" s="42" t="s">
        <v>68</v>
      </c>
      <c r="D405" s="42" t="s">
        <v>105</v>
      </c>
      <c r="E405" s="42" t="s">
        <v>105</v>
      </c>
      <c r="F405" s="42" t="s">
        <v>44</v>
      </c>
      <c r="G405" s="41">
        <v>35</v>
      </c>
      <c r="H405" s="41">
        <v>0</v>
      </c>
      <c r="I405" s="40">
        <f>IF(B405="","",IF(I404="",MASTER!$C$7,I404)+N(H405)-N(G405))</f>
        <v>10452</v>
      </c>
      <c r="J405" s="39">
        <v>17000</v>
      </c>
      <c r="K405" s="22">
        <f t="shared" si="19"/>
        <v>595000</v>
      </c>
      <c r="L405" s="38">
        <f t="shared" si="20"/>
        <v>0</v>
      </c>
      <c r="M405" s="37"/>
    </row>
    <row r="406" spans="1:13" x14ac:dyDescent="0.35">
      <c r="A406" s="44" t="str">
        <f t="shared" si="18"/>
        <v>June 2026</v>
      </c>
      <c r="B406" s="43">
        <v>46198</v>
      </c>
      <c r="C406" s="42" t="s">
        <v>89</v>
      </c>
      <c r="D406" s="42" t="s">
        <v>126</v>
      </c>
      <c r="E406" s="42" t="s">
        <v>126</v>
      </c>
      <c r="F406" s="42" t="s">
        <v>44</v>
      </c>
      <c r="G406" s="41">
        <v>65</v>
      </c>
      <c r="H406" s="41">
        <v>5000</v>
      </c>
      <c r="I406" s="40">
        <f>IF(B406="","",IF(I405="",MASTER!$C$7,I405)+N(H406)-N(G406))</f>
        <v>15387</v>
      </c>
      <c r="J406" s="39">
        <v>17000</v>
      </c>
      <c r="K406" s="22">
        <f t="shared" si="19"/>
        <v>1105000</v>
      </c>
      <c r="L406" s="38">
        <f t="shared" si="20"/>
        <v>85000000</v>
      </c>
      <c r="M406" s="37"/>
    </row>
    <row r="407" spans="1:13" x14ac:dyDescent="0.35">
      <c r="A407" s="44" t="str">
        <f t="shared" si="18"/>
        <v>June 2026</v>
      </c>
      <c r="B407" s="43">
        <v>46198</v>
      </c>
      <c r="C407" s="42" t="s">
        <v>93</v>
      </c>
      <c r="D407" s="42" t="s">
        <v>32</v>
      </c>
      <c r="E407" s="42" t="s">
        <v>32</v>
      </c>
      <c r="F407" s="42" t="s">
        <v>44</v>
      </c>
      <c r="G407" s="41">
        <v>245</v>
      </c>
      <c r="H407" s="41">
        <v>0</v>
      </c>
      <c r="I407" s="40">
        <f>IF(B407="","",IF(I406="",MASTER!$C$7,I406)+N(H407)-N(G407))</f>
        <v>15142</v>
      </c>
      <c r="J407" s="39">
        <v>17000</v>
      </c>
      <c r="K407" s="22">
        <f t="shared" si="19"/>
        <v>4165000</v>
      </c>
      <c r="L407" s="38">
        <f t="shared" si="20"/>
        <v>0</v>
      </c>
      <c r="M407" s="37"/>
    </row>
    <row r="408" spans="1:13" x14ac:dyDescent="0.35">
      <c r="A408" s="44" t="str">
        <f t="shared" si="18"/>
        <v>June 2026</v>
      </c>
      <c r="B408" s="43">
        <v>46198</v>
      </c>
      <c r="C408" s="42" t="s">
        <v>93</v>
      </c>
      <c r="D408" s="42" t="s">
        <v>125</v>
      </c>
      <c r="E408" s="42" t="s">
        <v>125</v>
      </c>
      <c r="F408" s="42" t="s">
        <v>44</v>
      </c>
      <c r="G408" s="41">
        <v>60</v>
      </c>
      <c r="H408" s="41">
        <v>0</v>
      </c>
      <c r="I408" s="40">
        <f>IF(B408="","",IF(I407="",MASTER!$C$7,I407)+N(H408)-N(G408))</f>
        <v>15082</v>
      </c>
      <c r="J408" s="39">
        <v>17000</v>
      </c>
      <c r="K408" s="22">
        <f t="shared" si="19"/>
        <v>1020000</v>
      </c>
      <c r="L408" s="38">
        <f t="shared" si="20"/>
        <v>0</v>
      </c>
      <c r="M408" s="37"/>
    </row>
    <row r="409" spans="1:13" x14ac:dyDescent="0.35">
      <c r="A409" s="44" t="str">
        <f t="shared" si="18"/>
        <v>June 2026</v>
      </c>
      <c r="B409" s="43">
        <v>46198</v>
      </c>
      <c r="C409" s="42" t="s">
        <v>93</v>
      </c>
      <c r="D409" s="42" t="s">
        <v>36</v>
      </c>
      <c r="E409" s="42" t="s">
        <v>36</v>
      </c>
      <c r="F409" s="42" t="s">
        <v>44</v>
      </c>
      <c r="G409" s="41">
        <v>175</v>
      </c>
      <c r="H409" s="41">
        <v>0</v>
      </c>
      <c r="I409" s="40">
        <f>IF(B409="","",IF(I408="",MASTER!$C$7,I408)+N(H409)-N(G409))</f>
        <v>14907</v>
      </c>
      <c r="J409" s="39">
        <v>17000</v>
      </c>
      <c r="K409" s="22">
        <f t="shared" si="19"/>
        <v>2975000</v>
      </c>
      <c r="L409" s="38">
        <f t="shared" si="20"/>
        <v>0</v>
      </c>
      <c r="M409" s="37"/>
    </row>
    <row r="410" spans="1:13" x14ac:dyDescent="0.35">
      <c r="A410" s="44" t="str">
        <f t="shared" si="18"/>
        <v>June 2026</v>
      </c>
      <c r="B410" s="43">
        <v>46198</v>
      </c>
      <c r="C410" s="42" t="s">
        <v>108</v>
      </c>
      <c r="D410" s="42" t="s">
        <v>107</v>
      </c>
      <c r="E410" s="42" t="s">
        <v>107</v>
      </c>
      <c r="F410" s="42" t="s">
        <v>44</v>
      </c>
      <c r="G410" s="41">
        <v>352</v>
      </c>
      <c r="H410" s="41">
        <v>0</v>
      </c>
      <c r="I410" s="40">
        <f>IF(B410="","",IF(I409="",MASTER!$C$7,I409)+N(H410)-N(G410))</f>
        <v>14555</v>
      </c>
      <c r="J410" s="39">
        <v>17000</v>
      </c>
      <c r="K410" s="22">
        <f t="shared" si="19"/>
        <v>5984000</v>
      </c>
      <c r="L410" s="38">
        <f t="shared" si="20"/>
        <v>0</v>
      </c>
      <c r="M410" s="37"/>
    </row>
    <row r="411" spans="1:13" x14ac:dyDescent="0.35">
      <c r="A411" s="44" t="str">
        <f t="shared" si="18"/>
        <v>June 2026</v>
      </c>
      <c r="B411" s="43">
        <v>46198</v>
      </c>
      <c r="C411" s="42" t="s">
        <v>93</v>
      </c>
      <c r="D411" s="42" t="s">
        <v>105</v>
      </c>
      <c r="E411" s="42" t="s">
        <v>105</v>
      </c>
      <c r="F411" s="42" t="s">
        <v>44</v>
      </c>
      <c r="G411" s="41">
        <v>175</v>
      </c>
      <c r="H411" s="41">
        <v>0</v>
      </c>
      <c r="I411" s="40">
        <f>IF(B411="","",IF(I410="",MASTER!$C$7,I410)+N(H411)-N(G411))</f>
        <v>14380</v>
      </c>
      <c r="J411" s="39">
        <v>17000</v>
      </c>
      <c r="K411" s="22">
        <f t="shared" si="19"/>
        <v>2975000</v>
      </c>
      <c r="L411" s="38">
        <f t="shared" si="20"/>
        <v>0</v>
      </c>
      <c r="M411" s="37"/>
    </row>
    <row r="412" spans="1:13" x14ac:dyDescent="0.35">
      <c r="A412" s="44" t="str">
        <f t="shared" si="18"/>
        <v>June 2026</v>
      </c>
      <c r="B412" s="43">
        <v>46198</v>
      </c>
      <c r="C412" s="42" t="s">
        <v>110</v>
      </c>
      <c r="D412" s="42" t="s">
        <v>124</v>
      </c>
      <c r="E412" s="42" t="s">
        <v>124</v>
      </c>
      <c r="F412" s="42" t="s">
        <v>44</v>
      </c>
      <c r="G412" s="41">
        <v>364</v>
      </c>
      <c r="H412" s="41">
        <v>0</v>
      </c>
      <c r="I412" s="40">
        <f>IF(B412="","",IF(I411="",MASTER!$C$7,I411)+N(H412)-N(G412))</f>
        <v>14016</v>
      </c>
      <c r="J412" s="39">
        <v>17000</v>
      </c>
      <c r="K412" s="22">
        <f t="shared" si="19"/>
        <v>6188000</v>
      </c>
      <c r="L412" s="38">
        <f t="shared" si="20"/>
        <v>0</v>
      </c>
      <c r="M412" s="37"/>
    </row>
    <row r="413" spans="1:13" x14ac:dyDescent="0.35">
      <c r="A413" s="44" t="str">
        <f t="shared" si="18"/>
        <v>June 2026</v>
      </c>
      <c r="B413" s="43">
        <v>46199</v>
      </c>
      <c r="C413" s="42" t="s">
        <v>93</v>
      </c>
      <c r="D413" s="42" t="s">
        <v>32</v>
      </c>
      <c r="E413" s="42" t="s">
        <v>32</v>
      </c>
      <c r="F413" s="42" t="s">
        <v>44</v>
      </c>
      <c r="G413" s="41">
        <v>175</v>
      </c>
      <c r="H413" s="41">
        <v>0</v>
      </c>
      <c r="I413" s="40">
        <f>IF(B413="","",IF(I412="",MASTER!$C$7,I412)+N(H413)-N(G413))</f>
        <v>13841</v>
      </c>
      <c r="J413" s="39">
        <v>17000</v>
      </c>
      <c r="K413" s="22">
        <f t="shared" si="19"/>
        <v>2975000</v>
      </c>
      <c r="L413" s="38">
        <f t="shared" si="20"/>
        <v>0</v>
      </c>
      <c r="M413" s="37"/>
    </row>
    <row r="414" spans="1:13" x14ac:dyDescent="0.35">
      <c r="A414" s="44" t="str">
        <f t="shared" si="18"/>
        <v>June 2026</v>
      </c>
      <c r="B414" s="43">
        <v>46199</v>
      </c>
      <c r="C414" s="42" t="s">
        <v>93</v>
      </c>
      <c r="D414" s="42" t="s">
        <v>396</v>
      </c>
      <c r="E414" s="42" t="s">
        <v>396</v>
      </c>
      <c r="F414" s="42" t="s">
        <v>44</v>
      </c>
      <c r="G414" s="41">
        <v>10</v>
      </c>
      <c r="H414" s="41">
        <v>0</v>
      </c>
      <c r="I414" s="40">
        <f>IF(B414="","",IF(I413="",MASTER!$C$7,I413)+N(H414)-N(G414))</f>
        <v>13831</v>
      </c>
      <c r="J414" s="39">
        <v>17000</v>
      </c>
      <c r="K414" s="22">
        <f t="shared" si="19"/>
        <v>170000</v>
      </c>
      <c r="L414" s="38">
        <f t="shared" si="20"/>
        <v>0</v>
      </c>
      <c r="M414" s="37"/>
    </row>
    <row r="415" spans="1:13" x14ac:dyDescent="0.35">
      <c r="A415" s="44" t="str">
        <f t="shared" si="18"/>
        <v>June 2026</v>
      </c>
      <c r="B415" s="43">
        <v>46200</v>
      </c>
      <c r="C415" s="42" t="s">
        <v>123</v>
      </c>
      <c r="D415" s="42" t="s">
        <v>30</v>
      </c>
      <c r="E415" s="42" t="s">
        <v>30</v>
      </c>
      <c r="F415" s="42" t="s">
        <v>44</v>
      </c>
      <c r="G415" s="41">
        <v>247</v>
      </c>
      <c r="H415" s="41">
        <v>0</v>
      </c>
      <c r="I415" s="40">
        <f>IF(B415="","",IF(I414="",MASTER!$C$7,I414)+N(H415)-N(G415))</f>
        <v>13584</v>
      </c>
      <c r="J415" s="39">
        <v>17000</v>
      </c>
      <c r="K415" s="22">
        <f t="shared" si="19"/>
        <v>4199000</v>
      </c>
      <c r="L415" s="38">
        <f t="shared" si="20"/>
        <v>0</v>
      </c>
      <c r="M415" s="37"/>
    </row>
    <row r="416" spans="1:13" x14ac:dyDescent="0.35">
      <c r="A416" s="44" t="str">
        <f t="shared" si="18"/>
        <v>June 2026</v>
      </c>
      <c r="B416" s="43">
        <v>46200</v>
      </c>
      <c r="C416" s="42" t="s">
        <v>122</v>
      </c>
      <c r="D416" s="42" t="s">
        <v>72</v>
      </c>
      <c r="E416" s="42" t="s">
        <v>72</v>
      </c>
      <c r="F416" s="42" t="s">
        <v>44</v>
      </c>
      <c r="G416" s="41">
        <v>35</v>
      </c>
      <c r="H416" s="41">
        <v>0</v>
      </c>
      <c r="I416" s="40">
        <f>IF(B416="","",IF(I415="",MASTER!$C$7,I415)+N(H416)-N(G416))</f>
        <v>13549</v>
      </c>
      <c r="J416" s="39">
        <v>17000</v>
      </c>
      <c r="K416" s="22">
        <f t="shared" si="19"/>
        <v>595000</v>
      </c>
      <c r="L416" s="38">
        <f t="shared" si="20"/>
        <v>0</v>
      </c>
      <c r="M416" s="37"/>
    </row>
    <row r="417" spans="1:13" x14ac:dyDescent="0.35">
      <c r="A417" s="44" t="str">
        <f t="shared" si="18"/>
        <v>June 2026</v>
      </c>
      <c r="B417" s="43">
        <v>46200</v>
      </c>
      <c r="C417" s="42" t="s">
        <v>64</v>
      </c>
      <c r="D417" s="42" t="s">
        <v>41</v>
      </c>
      <c r="E417" s="42" t="s">
        <v>41</v>
      </c>
      <c r="F417" s="42" t="s">
        <v>44</v>
      </c>
      <c r="G417" s="41">
        <v>304</v>
      </c>
      <c r="H417" s="41">
        <v>0</v>
      </c>
      <c r="I417" s="40">
        <f>IF(B417="","",IF(I416="",MASTER!$C$7,I416)+N(H417)-N(G417))</f>
        <v>13245</v>
      </c>
      <c r="J417" s="39">
        <v>17000</v>
      </c>
      <c r="K417" s="22">
        <f t="shared" si="19"/>
        <v>5168000</v>
      </c>
      <c r="L417" s="38">
        <f t="shared" si="20"/>
        <v>0</v>
      </c>
      <c r="M417" s="37"/>
    </row>
    <row r="418" spans="1:13" x14ac:dyDescent="0.35">
      <c r="A418" s="44" t="str">
        <f t="shared" si="18"/>
        <v>June 2026</v>
      </c>
      <c r="B418" s="43">
        <v>46200</v>
      </c>
      <c r="C418" s="42" t="s">
        <v>50</v>
      </c>
      <c r="D418" s="42" t="s">
        <v>27</v>
      </c>
      <c r="E418" s="42" t="s">
        <v>27</v>
      </c>
      <c r="F418" s="42" t="s">
        <v>44</v>
      </c>
      <c r="G418" s="41">
        <v>93</v>
      </c>
      <c r="H418" s="41">
        <v>0</v>
      </c>
      <c r="I418" s="40">
        <f>IF(B418="","",IF(I417="",MASTER!$C$7,I417)+N(H418)-N(G418))</f>
        <v>13152</v>
      </c>
      <c r="J418" s="39">
        <v>17000</v>
      </c>
      <c r="K418" s="22">
        <f t="shared" si="19"/>
        <v>1581000</v>
      </c>
      <c r="L418" s="38">
        <f t="shared" si="20"/>
        <v>0</v>
      </c>
      <c r="M418" s="37"/>
    </row>
    <row r="419" spans="1:13" x14ac:dyDescent="0.35">
      <c r="A419" s="44" t="str">
        <f t="shared" si="18"/>
        <v>June 2026</v>
      </c>
      <c r="B419" s="43">
        <v>46201</v>
      </c>
      <c r="C419" s="42" t="s">
        <v>93</v>
      </c>
      <c r="D419" s="42" t="s">
        <v>32</v>
      </c>
      <c r="E419" s="42" t="s">
        <v>32</v>
      </c>
      <c r="F419" s="42" t="s">
        <v>44</v>
      </c>
      <c r="G419" s="41">
        <v>175</v>
      </c>
      <c r="H419" s="41">
        <v>0</v>
      </c>
      <c r="I419" s="40">
        <f>IF(B419="","",IF(I418="",MASTER!$C$7,I418)+N(H419)-N(G419))</f>
        <v>12977</v>
      </c>
      <c r="J419" s="39">
        <v>17000</v>
      </c>
      <c r="K419" s="22">
        <f t="shared" si="19"/>
        <v>2975000</v>
      </c>
      <c r="L419" s="38">
        <f t="shared" si="20"/>
        <v>0</v>
      </c>
      <c r="M419" s="37"/>
    </row>
    <row r="420" spans="1:13" x14ac:dyDescent="0.35">
      <c r="A420" s="44" t="str">
        <f t="shared" si="18"/>
        <v>June 2026</v>
      </c>
      <c r="B420" s="43">
        <v>46201</v>
      </c>
      <c r="C420" s="42" t="s">
        <v>93</v>
      </c>
      <c r="D420" s="42" t="s">
        <v>36</v>
      </c>
      <c r="E420" s="42" t="s">
        <v>36</v>
      </c>
      <c r="F420" s="42" t="s">
        <v>44</v>
      </c>
      <c r="G420" s="41">
        <v>140</v>
      </c>
      <c r="H420" s="41">
        <v>0</v>
      </c>
      <c r="I420" s="40">
        <f>IF(B420="","",IF(I419="",MASTER!$C$7,I419)+N(H420)-N(G420))</f>
        <v>12837</v>
      </c>
      <c r="J420" s="39">
        <v>17000</v>
      </c>
      <c r="K420" s="22">
        <f t="shared" si="19"/>
        <v>2380000</v>
      </c>
      <c r="L420" s="38">
        <f t="shared" si="20"/>
        <v>0</v>
      </c>
      <c r="M420" s="37"/>
    </row>
    <row r="421" spans="1:13" x14ac:dyDescent="0.35">
      <c r="A421" s="44" t="str">
        <f t="shared" si="18"/>
        <v>June 2026</v>
      </c>
      <c r="B421" s="43">
        <v>46201</v>
      </c>
      <c r="C421" s="42" t="s">
        <v>108</v>
      </c>
      <c r="D421" s="42" t="s">
        <v>107</v>
      </c>
      <c r="E421" s="42" t="s">
        <v>107</v>
      </c>
      <c r="F421" s="42" t="s">
        <v>44</v>
      </c>
      <c r="G421" s="41">
        <v>398</v>
      </c>
      <c r="H421" s="41">
        <v>0</v>
      </c>
      <c r="I421" s="40">
        <f>IF(B421="","",IF(I420="",MASTER!$C$7,I420)+N(H421)-N(G421))</f>
        <v>12439</v>
      </c>
      <c r="J421" s="39">
        <v>17000</v>
      </c>
      <c r="K421" s="22">
        <f t="shared" si="19"/>
        <v>6766000</v>
      </c>
      <c r="L421" s="38">
        <f t="shared" si="20"/>
        <v>0</v>
      </c>
      <c r="M421" s="37"/>
    </row>
    <row r="422" spans="1:13" x14ac:dyDescent="0.35">
      <c r="A422" s="44" t="str">
        <f t="shared" si="18"/>
        <v>June 2026</v>
      </c>
      <c r="B422" s="43">
        <v>46201</v>
      </c>
      <c r="C422" s="42" t="s">
        <v>93</v>
      </c>
      <c r="D422" s="42" t="s">
        <v>97</v>
      </c>
      <c r="E422" s="42" t="s">
        <v>97</v>
      </c>
      <c r="F422" s="42" t="s">
        <v>44</v>
      </c>
      <c r="G422" s="41">
        <v>20</v>
      </c>
      <c r="H422" s="41">
        <v>0</v>
      </c>
      <c r="I422" s="40">
        <f>IF(B422="","",IF(I421="",MASTER!$C$7,I421)+N(H422)-N(G422))</f>
        <v>12419</v>
      </c>
      <c r="J422" s="39">
        <v>17000</v>
      </c>
      <c r="K422" s="22">
        <f t="shared" si="19"/>
        <v>340000</v>
      </c>
      <c r="L422" s="38">
        <f t="shared" si="20"/>
        <v>0</v>
      </c>
      <c r="M422" s="37"/>
    </row>
    <row r="423" spans="1:13" x14ac:dyDescent="0.35">
      <c r="A423" s="44" t="str">
        <f t="shared" si="18"/>
        <v>June 2026</v>
      </c>
      <c r="B423" s="43">
        <v>46202</v>
      </c>
      <c r="C423" s="42" t="s">
        <v>50</v>
      </c>
      <c r="D423" s="42" t="s">
        <v>27</v>
      </c>
      <c r="E423" s="42" t="s">
        <v>27</v>
      </c>
      <c r="F423" s="42" t="s">
        <v>44</v>
      </c>
      <c r="G423" s="41">
        <v>78</v>
      </c>
      <c r="H423" s="41">
        <v>0</v>
      </c>
      <c r="I423" s="40">
        <f>IF(B423="","",IF(I422="",MASTER!$C$7,I422)+N(H423)-N(G423))</f>
        <v>12341</v>
      </c>
      <c r="J423" s="39">
        <v>17000</v>
      </c>
      <c r="K423" s="22">
        <f t="shared" si="19"/>
        <v>1326000</v>
      </c>
      <c r="L423" s="38">
        <f t="shared" si="20"/>
        <v>0</v>
      </c>
      <c r="M423" s="37"/>
    </row>
    <row r="424" spans="1:13" x14ac:dyDescent="0.35">
      <c r="A424" s="44" t="str">
        <f t="shared" si="18"/>
        <v>June 2026</v>
      </c>
      <c r="B424" s="43">
        <v>46202</v>
      </c>
      <c r="C424" s="42" t="s">
        <v>68</v>
      </c>
      <c r="D424" s="42" t="s">
        <v>67</v>
      </c>
      <c r="E424" s="42" t="s">
        <v>67</v>
      </c>
      <c r="F424" s="42" t="s">
        <v>44</v>
      </c>
      <c r="G424" s="41">
        <v>140</v>
      </c>
      <c r="H424" s="41">
        <v>0</v>
      </c>
      <c r="I424" s="40">
        <f>IF(B424="","",IF(I423="",MASTER!$C$7,I423)+N(H424)-N(G424))</f>
        <v>12201</v>
      </c>
      <c r="J424" s="39">
        <v>17000</v>
      </c>
      <c r="K424" s="22">
        <f t="shared" si="19"/>
        <v>2380000</v>
      </c>
      <c r="L424" s="38">
        <f t="shared" si="20"/>
        <v>0</v>
      </c>
      <c r="M424" s="37"/>
    </row>
    <row r="425" spans="1:13" x14ac:dyDescent="0.35">
      <c r="A425" s="44" t="str">
        <f t="shared" si="18"/>
        <v>June 2026</v>
      </c>
      <c r="B425" s="43">
        <v>46202</v>
      </c>
      <c r="C425" s="42" t="s">
        <v>89</v>
      </c>
      <c r="D425" s="42" t="s">
        <v>92</v>
      </c>
      <c r="E425" s="42" t="s">
        <v>92</v>
      </c>
      <c r="F425" s="42" t="s">
        <v>44</v>
      </c>
      <c r="G425" s="41">
        <v>20</v>
      </c>
      <c r="H425" s="41">
        <v>0</v>
      </c>
      <c r="I425" s="40">
        <f>IF(B425="","",IF(I424="",MASTER!$C$7,I424)+N(H425)-N(G425))</f>
        <v>12181</v>
      </c>
      <c r="J425" s="39">
        <v>17000</v>
      </c>
      <c r="K425" s="22">
        <f t="shared" si="19"/>
        <v>340000</v>
      </c>
      <c r="L425" s="38">
        <f t="shared" si="20"/>
        <v>0</v>
      </c>
      <c r="M425" s="37"/>
    </row>
    <row r="426" spans="1:13" x14ac:dyDescent="0.35">
      <c r="A426" s="44" t="str">
        <f t="shared" si="18"/>
        <v>June 2026</v>
      </c>
      <c r="B426" s="43">
        <v>46202</v>
      </c>
      <c r="C426" s="42" t="s">
        <v>119</v>
      </c>
      <c r="D426" s="42" t="s">
        <v>121</v>
      </c>
      <c r="E426" s="42" t="s">
        <v>121</v>
      </c>
      <c r="F426" s="42" t="s">
        <v>44</v>
      </c>
      <c r="G426" s="41">
        <v>70</v>
      </c>
      <c r="H426" s="41">
        <v>0</v>
      </c>
      <c r="I426" s="40">
        <f>IF(B426="","",IF(I425="",MASTER!$C$7,I425)+N(H426)-N(G426))</f>
        <v>12111</v>
      </c>
      <c r="J426" s="39">
        <v>17000</v>
      </c>
      <c r="K426" s="22">
        <f t="shared" si="19"/>
        <v>1190000</v>
      </c>
      <c r="L426" s="38">
        <f t="shared" si="20"/>
        <v>0</v>
      </c>
      <c r="M426" s="37"/>
    </row>
    <row r="427" spans="1:13" x14ac:dyDescent="0.35">
      <c r="A427" s="44" t="str">
        <f t="shared" si="18"/>
        <v>June 2026</v>
      </c>
      <c r="B427" s="43">
        <v>46202</v>
      </c>
      <c r="C427" s="42" t="s">
        <v>93</v>
      </c>
      <c r="D427" s="42" t="s">
        <v>32</v>
      </c>
      <c r="E427" s="42" t="s">
        <v>32</v>
      </c>
      <c r="F427" s="42" t="s">
        <v>44</v>
      </c>
      <c r="G427" s="41">
        <v>105</v>
      </c>
      <c r="H427" s="41">
        <v>0</v>
      </c>
      <c r="I427" s="40">
        <f>IF(B427="","",IF(I426="",MASTER!$C$7,I426)+N(H427)-N(G427))</f>
        <v>12006</v>
      </c>
      <c r="J427" s="39">
        <v>17000</v>
      </c>
      <c r="K427" s="22">
        <f t="shared" si="19"/>
        <v>1785000</v>
      </c>
      <c r="L427" s="38">
        <f t="shared" si="20"/>
        <v>0</v>
      </c>
      <c r="M427" s="37"/>
    </row>
    <row r="428" spans="1:13" x14ac:dyDescent="0.35">
      <c r="A428" s="44" t="str">
        <f t="shared" si="18"/>
        <v>June 2026</v>
      </c>
      <c r="B428" s="43">
        <v>46202</v>
      </c>
      <c r="C428" s="42" t="s">
        <v>93</v>
      </c>
      <c r="D428" s="42" t="s">
        <v>36</v>
      </c>
      <c r="E428" s="42" t="s">
        <v>36</v>
      </c>
      <c r="F428" s="42" t="s">
        <v>44</v>
      </c>
      <c r="G428" s="41">
        <v>105</v>
      </c>
      <c r="H428" s="41">
        <v>0</v>
      </c>
      <c r="I428" s="40">
        <f>IF(B428="","",IF(I427="",MASTER!$C$7,I427)+N(H428)-N(G428))</f>
        <v>11901</v>
      </c>
      <c r="J428" s="39">
        <v>17000</v>
      </c>
      <c r="K428" s="22">
        <f t="shared" si="19"/>
        <v>1785000</v>
      </c>
      <c r="L428" s="38">
        <f t="shared" si="20"/>
        <v>0</v>
      </c>
      <c r="M428" s="37"/>
    </row>
    <row r="429" spans="1:13" x14ac:dyDescent="0.35">
      <c r="A429" s="44" t="str">
        <f t="shared" si="18"/>
        <v>June 2026</v>
      </c>
      <c r="B429" s="43">
        <v>46202</v>
      </c>
      <c r="C429" s="42" t="s">
        <v>93</v>
      </c>
      <c r="D429" s="42" t="s">
        <v>97</v>
      </c>
      <c r="E429" s="42" t="s">
        <v>97</v>
      </c>
      <c r="F429" s="42" t="s">
        <v>44</v>
      </c>
      <c r="G429" s="41">
        <v>25</v>
      </c>
      <c r="H429" s="41">
        <v>0</v>
      </c>
      <c r="I429" s="40">
        <f>IF(B429="","",IF(I428="",MASTER!$C$7,I428)+N(H429)-N(G429))</f>
        <v>11876</v>
      </c>
      <c r="J429" s="39">
        <v>17000</v>
      </c>
      <c r="K429" s="22">
        <f t="shared" si="19"/>
        <v>425000</v>
      </c>
      <c r="L429" s="38">
        <f t="shared" si="20"/>
        <v>0</v>
      </c>
      <c r="M429" s="37"/>
    </row>
    <row r="430" spans="1:13" x14ac:dyDescent="0.35">
      <c r="A430" s="44" t="str">
        <f t="shared" si="18"/>
        <v>June 2026</v>
      </c>
      <c r="B430" s="43">
        <v>46203</v>
      </c>
      <c r="C430" s="42" t="s">
        <v>77</v>
      </c>
      <c r="D430" s="42" t="s">
        <v>120</v>
      </c>
      <c r="E430" s="42" t="s">
        <v>120</v>
      </c>
      <c r="F430" s="42" t="s">
        <v>44</v>
      </c>
      <c r="G430" s="41">
        <v>210</v>
      </c>
      <c r="H430" s="41">
        <v>0</v>
      </c>
      <c r="I430" s="40">
        <f>IF(B430="","",IF(I429="",MASTER!$C$7,I429)+N(H430)-N(G430))</f>
        <v>11666</v>
      </c>
      <c r="J430" s="39">
        <v>17000</v>
      </c>
      <c r="K430" s="22">
        <f t="shared" si="19"/>
        <v>3570000</v>
      </c>
      <c r="L430" s="38">
        <f t="shared" si="20"/>
        <v>0</v>
      </c>
      <c r="M430" s="37"/>
    </row>
    <row r="431" spans="1:13" x14ac:dyDescent="0.35">
      <c r="A431" s="44" t="str">
        <f t="shared" si="18"/>
        <v>June 2026</v>
      </c>
      <c r="B431" s="43">
        <v>46203</v>
      </c>
      <c r="C431" s="42" t="s">
        <v>119</v>
      </c>
      <c r="D431" s="42" t="s">
        <v>118</v>
      </c>
      <c r="E431" s="42" t="s">
        <v>118</v>
      </c>
      <c r="F431" s="42" t="s">
        <v>44</v>
      </c>
      <c r="G431" s="41">
        <v>105</v>
      </c>
      <c r="H431" s="41">
        <v>0</v>
      </c>
      <c r="I431" s="40">
        <f>IF(B431="","",IF(I430="",MASTER!$C$7,I430)+N(H431)-N(G431))</f>
        <v>11561</v>
      </c>
      <c r="J431" s="39">
        <v>17000</v>
      </c>
      <c r="K431" s="22">
        <f t="shared" si="19"/>
        <v>1785000</v>
      </c>
      <c r="L431" s="38">
        <f t="shared" si="20"/>
        <v>0</v>
      </c>
      <c r="M431" s="37"/>
    </row>
    <row r="432" spans="1:13" x14ac:dyDescent="0.35">
      <c r="A432" s="44" t="str">
        <f t="shared" si="18"/>
        <v>June 2026</v>
      </c>
      <c r="B432" s="43">
        <v>46203</v>
      </c>
      <c r="C432" s="42" t="s">
        <v>108</v>
      </c>
      <c r="D432" s="42" t="s">
        <v>117</v>
      </c>
      <c r="E432" s="42" t="s">
        <v>117</v>
      </c>
      <c r="F432" s="42" t="s">
        <v>44</v>
      </c>
      <c r="G432" s="41">
        <v>432</v>
      </c>
      <c r="H432" s="41">
        <v>0</v>
      </c>
      <c r="I432" s="40">
        <f>IF(B432="","",IF(I431="",MASTER!$C$7,I431)+N(H432)-N(G432))</f>
        <v>11129</v>
      </c>
      <c r="J432" s="39">
        <v>17000</v>
      </c>
      <c r="K432" s="22">
        <f t="shared" si="19"/>
        <v>7344000</v>
      </c>
      <c r="L432" s="38">
        <f t="shared" si="20"/>
        <v>0</v>
      </c>
      <c r="M432" s="37"/>
    </row>
    <row r="433" spans="1:13" x14ac:dyDescent="0.35">
      <c r="A433" s="44" t="str">
        <f t="shared" si="18"/>
        <v>July 2026</v>
      </c>
      <c r="B433" s="43">
        <v>46204</v>
      </c>
      <c r="C433" s="42" t="s">
        <v>51</v>
      </c>
      <c r="D433" s="42" t="s">
        <v>421</v>
      </c>
      <c r="E433" s="42" t="s">
        <v>63</v>
      </c>
      <c r="F433" s="42" t="s">
        <v>44</v>
      </c>
      <c r="G433" s="41">
        <v>100</v>
      </c>
      <c r="H433" s="41">
        <v>0</v>
      </c>
      <c r="I433" s="40">
        <f>IF(B433="","",IF(I432="",MASTER!$C$7,I432)+N(H433)-N(G433))</f>
        <v>11029</v>
      </c>
      <c r="J433" s="39">
        <v>17000</v>
      </c>
      <c r="K433" s="22">
        <f t="shared" si="19"/>
        <v>1700000</v>
      </c>
      <c r="L433" s="38">
        <f t="shared" si="20"/>
        <v>0</v>
      </c>
      <c r="M433" s="37"/>
    </row>
    <row r="434" spans="1:13" x14ac:dyDescent="0.35">
      <c r="A434" s="44" t="str">
        <f t="shared" si="18"/>
        <v>July 2026</v>
      </c>
      <c r="B434" s="43">
        <v>46204</v>
      </c>
      <c r="C434" s="42" t="s">
        <v>64</v>
      </c>
      <c r="D434" s="42" t="s">
        <v>413</v>
      </c>
      <c r="E434" s="42" t="s">
        <v>53</v>
      </c>
      <c r="F434" s="42" t="s">
        <v>44</v>
      </c>
      <c r="G434" s="41">
        <v>325</v>
      </c>
      <c r="H434" s="41">
        <v>0</v>
      </c>
      <c r="I434" s="40">
        <f>IF(B434="","",IF(I433="",MASTER!$C$7,I433)+N(H434)-N(G434))</f>
        <v>10704</v>
      </c>
      <c r="J434" s="39">
        <v>17000</v>
      </c>
      <c r="K434" s="22">
        <f t="shared" si="19"/>
        <v>5525000</v>
      </c>
      <c r="L434" s="38">
        <f t="shared" si="20"/>
        <v>0</v>
      </c>
      <c r="M434" s="37"/>
    </row>
    <row r="435" spans="1:13" x14ac:dyDescent="0.35">
      <c r="A435" s="44" t="str">
        <f t="shared" si="18"/>
        <v>July 2026</v>
      </c>
      <c r="B435" s="43">
        <v>46204</v>
      </c>
      <c r="C435" s="42" t="s">
        <v>116</v>
      </c>
      <c r="D435" s="42" t="s">
        <v>410</v>
      </c>
      <c r="E435" s="42" t="s">
        <v>63</v>
      </c>
      <c r="F435" s="42" t="s">
        <v>44</v>
      </c>
      <c r="G435" s="41">
        <v>100</v>
      </c>
      <c r="H435" s="41">
        <v>0</v>
      </c>
      <c r="I435" s="40">
        <f>IF(B435="","",IF(I434="",MASTER!$C$7,I434)+N(H435)-N(G435))</f>
        <v>10604</v>
      </c>
      <c r="J435" s="39">
        <v>17000</v>
      </c>
      <c r="K435" s="22">
        <f t="shared" si="19"/>
        <v>1700000</v>
      </c>
      <c r="L435" s="38">
        <f t="shared" si="20"/>
        <v>0</v>
      </c>
      <c r="M435" s="37"/>
    </row>
    <row r="436" spans="1:13" x14ac:dyDescent="0.35">
      <c r="A436" s="44" t="str">
        <f t="shared" si="18"/>
        <v>July 2026</v>
      </c>
      <c r="B436" s="43">
        <v>46204</v>
      </c>
      <c r="C436" s="42" t="s">
        <v>93</v>
      </c>
      <c r="D436" s="42" t="s">
        <v>115</v>
      </c>
      <c r="E436" s="42" t="s">
        <v>63</v>
      </c>
      <c r="F436" s="42" t="s">
        <v>44</v>
      </c>
      <c r="G436" s="41">
        <v>70</v>
      </c>
      <c r="H436" s="41">
        <v>0</v>
      </c>
      <c r="I436" s="40">
        <f>IF(B436="","",IF(I435="",MASTER!$C$7,I435)+N(H436)-N(G436))</f>
        <v>10534</v>
      </c>
      <c r="J436" s="39">
        <v>17000</v>
      </c>
      <c r="K436" s="22">
        <f t="shared" si="19"/>
        <v>1190000</v>
      </c>
      <c r="L436" s="38">
        <f t="shared" si="20"/>
        <v>0</v>
      </c>
      <c r="M436" s="37"/>
    </row>
    <row r="437" spans="1:13" x14ac:dyDescent="0.35">
      <c r="A437" s="44" t="str">
        <f t="shared" si="18"/>
        <v>July 2026</v>
      </c>
      <c r="B437" s="43">
        <v>46204</v>
      </c>
      <c r="C437" s="42" t="s">
        <v>93</v>
      </c>
      <c r="D437" s="42" t="s">
        <v>92</v>
      </c>
      <c r="E437" s="42" t="s">
        <v>101</v>
      </c>
      <c r="F437" s="42" t="s">
        <v>44</v>
      </c>
      <c r="G437" s="41">
        <v>30</v>
      </c>
      <c r="H437" s="41">
        <v>0</v>
      </c>
      <c r="I437" s="40">
        <f>IF(B437="","",IF(I436="",MASTER!$C$7,I436)+N(H437)-N(G437))</f>
        <v>10504</v>
      </c>
      <c r="J437" s="39">
        <v>17000</v>
      </c>
      <c r="K437" s="22">
        <f t="shared" si="19"/>
        <v>510000</v>
      </c>
      <c r="L437" s="38">
        <f t="shared" si="20"/>
        <v>0</v>
      </c>
      <c r="M437" s="37"/>
    </row>
    <row r="438" spans="1:13" x14ac:dyDescent="0.35">
      <c r="A438" s="44" t="str">
        <f t="shared" si="18"/>
        <v>July 2026</v>
      </c>
      <c r="B438" s="43">
        <v>46204</v>
      </c>
      <c r="C438" s="42" t="s">
        <v>68</v>
      </c>
      <c r="D438" s="42" t="s">
        <v>107</v>
      </c>
      <c r="E438" s="42" t="s">
        <v>56</v>
      </c>
      <c r="F438" s="42" t="s">
        <v>44</v>
      </c>
      <c r="G438" s="41">
        <v>105</v>
      </c>
      <c r="H438" s="41">
        <v>0</v>
      </c>
      <c r="I438" s="40">
        <f>IF(B438="","",IF(I437="",MASTER!$C$7,I437)+N(H438)-N(G438))</f>
        <v>10399</v>
      </c>
      <c r="J438" s="39">
        <v>17000</v>
      </c>
      <c r="K438" s="22">
        <f t="shared" si="19"/>
        <v>1785000</v>
      </c>
      <c r="L438" s="38">
        <f t="shared" si="20"/>
        <v>0</v>
      </c>
      <c r="M438" s="37"/>
    </row>
    <row r="439" spans="1:13" x14ac:dyDescent="0.35">
      <c r="A439" s="44" t="str">
        <f t="shared" si="18"/>
        <v>July 2026</v>
      </c>
      <c r="B439" s="43">
        <v>46204</v>
      </c>
      <c r="C439" s="42" t="s">
        <v>114</v>
      </c>
      <c r="D439" s="42" t="s">
        <v>92</v>
      </c>
      <c r="E439" s="42" t="s">
        <v>101</v>
      </c>
      <c r="F439" s="42" t="s">
        <v>44</v>
      </c>
      <c r="G439" s="41">
        <v>20</v>
      </c>
      <c r="H439" s="41">
        <v>0</v>
      </c>
      <c r="I439" s="40">
        <f>IF(B439="","",IF(I438="",MASTER!$C$7,I438)+N(H439)-N(G439))</f>
        <v>10379</v>
      </c>
      <c r="J439" s="39">
        <v>17000</v>
      </c>
      <c r="K439" s="22">
        <f t="shared" si="19"/>
        <v>340000</v>
      </c>
      <c r="L439" s="38">
        <f t="shared" si="20"/>
        <v>0</v>
      </c>
      <c r="M439" s="37" t="s">
        <v>420</v>
      </c>
    </row>
    <row r="440" spans="1:13" x14ac:dyDescent="0.35">
      <c r="A440" s="44" t="str">
        <f t="shared" si="18"/>
        <v>July 2026</v>
      </c>
      <c r="B440" s="43">
        <v>46205</v>
      </c>
      <c r="C440" s="42" t="s">
        <v>106</v>
      </c>
      <c r="D440" s="42" t="s">
        <v>92</v>
      </c>
      <c r="E440" s="42" t="s">
        <v>101</v>
      </c>
      <c r="F440" s="42" t="s">
        <v>44</v>
      </c>
      <c r="G440" s="41">
        <v>64</v>
      </c>
      <c r="H440" s="41">
        <v>0</v>
      </c>
      <c r="I440" s="40">
        <f>IF(B440="","",IF(I439="",MASTER!$C$7,I439)+N(H440)-N(G440))</f>
        <v>10315</v>
      </c>
      <c r="J440" s="39">
        <v>17000</v>
      </c>
      <c r="K440" s="22">
        <f t="shared" si="19"/>
        <v>1088000</v>
      </c>
      <c r="L440" s="38">
        <f t="shared" si="20"/>
        <v>0</v>
      </c>
      <c r="M440" s="37" t="s">
        <v>420</v>
      </c>
    </row>
    <row r="441" spans="1:13" x14ac:dyDescent="0.35">
      <c r="A441" s="44" t="str">
        <f t="shared" si="18"/>
        <v>July 2026</v>
      </c>
      <c r="B441" s="43">
        <v>46205</v>
      </c>
      <c r="C441" s="42" t="s">
        <v>68</v>
      </c>
      <c r="D441" s="42" t="s">
        <v>418</v>
      </c>
      <c r="E441" s="42" t="s">
        <v>56</v>
      </c>
      <c r="F441" s="42" t="s">
        <v>44</v>
      </c>
      <c r="G441" s="41">
        <v>35</v>
      </c>
      <c r="H441" s="41">
        <v>0</v>
      </c>
      <c r="I441" s="40">
        <f>IF(B441="","",IF(I440="",MASTER!$C$7,I440)+N(H441)-N(G441))</f>
        <v>10280</v>
      </c>
      <c r="J441" s="39">
        <v>17000</v>
      </c>
      <c r="K441" s="22">
        <f t="shared" si="19"/>
        <v>595000</v>
      </c>
      <c r="L441" s="38">
        <f t="shared" si="20"/>
        <v>0</v>
      </c>
      <c r="M441" s="37" t="s">
        <v>420</v>
      </c>
    </row>
    <row r="442" spans="1:13" x14ac:dyDescent="0.35">
      <c r="A442" s="44" t="str">
        <f t="shared" si="18"/>
        <v>July 2026</v>
      </c>
      <c r="B442" s="43">
        <v>46206</v>
      </c>
      <c r="C442" s="42" t="s">
        <v>113</v>
      </c>
      <c r="D442" s="42" t="s">
        <v>107</v>
      </c>
      <c r="E442" s="42" t="s">
        <v>112</v>
      </c>
      <c r="F442" s="42" t="s">
        <v>44</v>
      </c>
      <c r="G442" s="41">
        <v>70</v>
      </c>
      <c r="H442" s="41">
        <v>0</v>
      </c>
      <c r="I442" s="40">
        <f>IF(B442="","",IF(I441="",MASTER!$C$7,I441)+N(H442)-N(G442))</f>
        <v>10210</v>
      </c>
      <c r="J442" s="39">
        <v>17000</v>
      </c>
      <c r="K442" s="22">
        <f t="shared" si="19"/>
        <v>1190000</v>
      </c>
      <c r="L442" s="38">
        <f t="shared" si="20"/>
        <v>0</v>
      </c>
      <c r="M442" s="37" t="s">
        <v>420</v>
      </c>
    </row>
    <row r="443" spans="1:13" x14ac:dyDescent="0.35">
      <c r="A443" s="44" t="str">
        <f t="shared" si="18"/>
        <v>July 2026</v>
      </c>
      <c r="B443" s="43">
        <v>46206</v>
      </c>
      <c r="C443" s="42" t="s">
        <v>77</v>
      </c>
      <c r="D443" s="42" t="s">
        <v>97</v>
      </c>
      <c r="E443" s="42" t="s">
        <v>63</v>
      </c>
      <c r="F443" s="42" t="s">
        <v>44</v>
      </c>
      <c r="G443" s="41">
        <v>10</v>
      </c>
      <c r="H443" s="41">
        <v>0</v>
      </c>
      <c r="I443" s="40">
        <f>IF(B443="","",IF(I442="",MASTER!$C$7,I442)+N(H443)-N(G443))</f>
        <v>10200</v>
      </c>
      <c r="J443" s="39">
        <v>17000</v>
      </c>
      <c r="K443" s="22">
        <f t="shared" si="19"/>
        <v>170000</v>
      </c>
      <c r="L443" s="38">
        <f t="shared" si="20"/>
        <v>0</v>
      </c>
      <c r="M443" s="37"/>
    </row>
    <row r="444" spans="1:13" x14ac:dyDescent="0.35">
      <c r="A444" s="44" t="str">
        <f t="shared" si="18"/>
        <v>July 2026</v>
      </c>
      <c r="B444" s="43">
        <v>46207</v>
      </c>
      <c r="C444" s="42" t="s">
        <v>111</v>
      </c>
      <c r="D444" s="42" t="s">
        <v>412</v>
      </c>
      <c r="E444" s="42" t="s">
        <v>63</v>
      </c>
      <c r="F444" s="42" t="s">
        <v>44</v>
      </c>
      <c r="G444" s="41">
        <v>193</v>
      </c>
      <c r="H444" s="41">
        <v>0</v>
      </c>
      <c r="I444" s="40">
        <f>IF(B444="","",IF(I443="",MASTER!$C$7,I443)+N(H444)-N(G444))</f>
        <v>10007</v>
      </c>
      <c r="J444" s="39">
        <v>17000</v>
      </c>
      <c r="K444" s="22">
        <f t="shared" si="19"/>
        <v>3281000</v>
      </c>
      <c r="L444" s="38">
        <f t="shared" si="20"/>
        <v>0</v>
      </c>
      <c r="M444" s="37"/>
    </row>
    <row r="445" spans="1:13" x14ac:dyDescent="0.35">
      <c r="A445" s="44" t="str">
        <f t="shared" si="18"/>
        <v>July 2026</v>
      </c>
      <c r="B445" s="43">
        <v>46207</v>
      </c>
      <c r="C445" s="42" t="s">
        <v>50</v>
      </c>
      <c r="D445" s="42" t="s">
        <v>414</v>
      </c>
      <c r="E445" s="42" t="s">
        <v>63</v>
      </c>
      <c r="F445" s="42" t="s">
        <v>44</v>
      </c>
      <c r="G445" s="41">
        <v>187</v>
      </c>
      <c r="H445" s="41">
        <v>0</v>
      </c>
      <c r="I445" s="40">
        <f>IF(B445="","",IF(I444="",MASTER!$C$7,I444)+N(H445)-N(G445))</f>
        <v>9820</v>
      </c>
      <c r="J445" s="39">
        <v>17000</v>
      </c>
      <c r="K445" s="22">
        <f t="shared" si="19"/>
        <v>3179000</v>
      </c>
      <c r="L445" s="38">
        <f t="shared" si="20"/>
        <v>0</v>
      </c>
      <c r="M445" s="37"/>
    </row>
    <row r="446" spans="1:13" x14ac:dyDescent="0.35">
      <c r="A446" s="44" t="str">
        <f t="shared" si="18"/>
        <v>July 2026</v>
      </c>
      <c r="B446" s="43">
        <v>46207</v>
      </c>
      <c r="C446" s="42" t="s">
        <v>93</v>
      </c>
      <c r="D446" s="42" t="s">
        <v>396</v>
      </c>
      <c r="E446" s="42" t="s">
        <v>63</v>
      </c>
      <c r="F446" s="42" t="s">
        <v>44</v>
      </c>
      <c r="G446" s="41">
        <v>20</v>
      </c>
      <c r="H446" s="41">
        <v>0</v>
      </c>
      <c r="I446" s="40">
        <f>IF(B446="","",IF(I445="",MASTER!$C$7,I445)+N(H446)-N(G446))</f>
        <v>9800</v>
      </c>
      <c r="J446" s="39">
        <v>17000</v>
      </c>
      <c r="K446" s="22">
        <f t="shared" si="19"/>
        <v>340000</v>
      </c>
      <c r="L446" s="38">
        <f t="shared" si="20"/>
        <v>0</v>
      </c>
      <c r="M446" s="37"/>
    </row>
    <row r="447" spans="1:13" x14ac:dyDescent="0.35">
      <c r="A447" s="44" t="str">
        <f t="shared" si="18"/>
        <v>July 2026</v>
      </c>
      <c r="B447" s="43">
        <v>46209</v>
      </c>
      <c r="C447" s="42" t="s">
        <v>93</v>
      </c>
      <c r="D447" s="42" t="s">
        <v>421</v>
      </c>
      <c r="E447" s="42" t="s">
        <v>63</v>
      </c>
      <c r="F447" s="42" t="s">
        <v>44</v>
      </c>
      <c r="G447" s="41">
        <v>140</v>
      </c>
      <c r="H447" s="41">
        <v>0</v>
      </c>
      <c r="I447" s="40">
        <f>IF(B447="","",IF(I446="",MASTER!$C$7,I446)+N(H447)-N(G447))</f>
        <v>9660</v>
      </c>
      <c r="J447" s="39">
        <v>17000</v>
      </c>
      <c r="K447" s="22">
        <f t="shared" si="19"/>
        <v>2380000</v>
      </c>
      <c r="L447" s="38">
        <f t="shared" si="20"/>
        <v>0</v>
      </c>
      <c r="M447" s="37"/>
    </row>
    <row r="448" spans="1:13" x14ac:dyDescent="0.35">
      <c r="A448" s="44" t="str">
        <f t="shared" si="18"/>
        <v>July 2026</v>
      </c>
      <c r="B448" s="43">
        <v>46209</v>
      </c>
      <c r="C448" s="42" t="s">
        <v>93</v>
      </c>
      <c r="D448" s="42" t="s">
        <v>415</v>
      </c>
      <c r="E448" s="42" t="s">
        <v>63</v>
      </c>
      <c r="F448" s="42" t="s">
        <v>44</v>
      </c>
      <c r="G448" s="41">
        <v>140</v>
      </c>
      <c r="H448" s="41">
        <v>0</v>
      </c>
      <c r="I448" s="40">
        <f>IF(B448="","",IF(I447="",MASTER!$C$7,I447)+N(H448)-N(G448))</f>
        <v>9520</v>
      </c>
      <c r="J448" s="39">
        <v>17000</v>
      </c>
      <c r="K448" s="22">
        <f t="shared" si="19"/>
        <v>2380000</v>
      </c>
      <c r="L448" s="38">
        <f t="shared" si="20"/>
        <v>0</v>
      </c>
      <c r="M448" s="37"/>
    </row>
    <row r="449" spans="1:13" x14ac:dyDescent="0.35">
      <c r="A449" s="44" t="str">
        <f t="shared" si="18"/>
        <v>July 2026</v>
      </c>
      <c r="B449" s="43">
        <v>46209</v>
      </c>
      <c r="C449" s="42" t="s">
        <v>93</v>
      </c>
      <c r="D449" s="42" t="s">
        <v>97</v>
      </c>
      <c r="E449" s="42" t="s">
        <v>63</v>
      </c>
      <c r="F449" s="42" t="s">
        <v>44</v>
      </c>
      <c r="G449" s="41">
        <v>20</v>
      </c>
      <c r="H449" s="41">
        <v>0</v>
      </c>
      <c r="I449" s="40">
        <f>IF(B449="","",IF(I448="",MASTER!$C$7,I448)+N(H449)-N(G449))</f>
        <v>9500</v>
      </c>
      <c r="J449" s="39">
        <v>17000</v>
      </c>
      <c r="K449" s="22">
        <f t="shared" si="19"/>
        <v>340000</v>
      </c>
      <c r="L449" s="38">
        <f t="shared" si="20"/>
        <v>0</v>
      </c>
      <c r="M449" s="37"/>
    </row>
    <row r="450" spans="1:13" x14ac:dyDescent="0.35">
      <c r="A450" s="44" t="str">
        <f t="shared" si="18"/>
        <v>July 2026</v>
      </c>
      <c r="B450" s="43">
        <v>46210</v>
      </c>
      <c r="C450" s="42" t="s">
        <v>64</v>
      </c>
      <c r="D450" s="42" t="s">
        <v>413</v>
      </c>
      <c r="E450" s="42" t="s">
        <v>53</v>
      </c>
      <c r="F450" s="42" t="s">
        <v>44</v>
      </c>
      <c r="G450" s="41">
        <v>247</v>
      </c>
      <c r="H450" s="41">
        <v>0</v>
      </c>
      <c r="I450" s="40">
        <f>IF(B450="","",IF(I449="",MASTER!$C$7,I449)+N(H450)-N(G450))</f>
        <v>9253</v>
      </c>
      <c r="J450" s="39">
        <v>17000</v>
      </c>
      <c r="K450" s="22">
        <f t="shared" si="19"/>
        <v>4199000</v>
      </c>
      <c r="L450" s="38">
        <f t="shared" si="20"/>
        <v>0</v>
      </c>
      <c r="M450" s="37"/>
    </row>
    <row r="451" spans="1:13" x14ac:dyDescent="0.35">
      <c r="A451" s="44" t="str">
        <f t="shared" ref="A451:A513" si="21">IF(B451="","",TEXT(B451,"MMMM YYYY"))</f>
        <v>July 2026</v>
      </c>
      <c r="B451" s="43">
        <v>46210</v>
      </c>
      <c r="C451" s="42" t="s">
        <v>110</v>
      </c>
      <c r="D451" s="42" t="s">
        <v>109</v>
      </c>
      <c r="E451" s="42" t="s">
        <v>56</v>
      </c>
      <c r="F451" s="42" t="s">
        <v>44</v>
      </c>
      <c r="G451" s="41">
        <v>396</v>
      </c>
      <c r="H451" s="41">
        <v>0</v>
      </c>
      <c r="I451" s="40">
        <f>IF(B451="","",IF(I450="",MASTER!$C$7,I450)+N(H451)-N(G451))</f>
        <v>8857</v>
      </c>
      <c r="J451" s="39">
        <v>17000</v>
      </c>
      <c r="K451" s="22">
        <f t="shared" ref="K451:K513" si="22">IF(OR(B451="",J451=""),"",N(G451)*J451)</f>
        <v>6732000</v>
      </c>
      <c r="L451" s="38">
        <f t="shared" ref="L451:L513" si="23">IF(OR(B451="",H451="",J451=""),"",N(H451)*J451)</f>
        <v>0</v>
      </c>
      <c r="M451" s="37"/>
    </row>
    <row r="452" spans="1:13" x14ac:dyDescent="0.35">
      <c r="A452" s="44" t="str">
        <f t="shared" si="21"/>
        <v>July 2026</v>
      </c>
      <c r="B452" s="43">
        <v>46210</v>
      </c>
      <c r="C452" s="42" t="s">
        <v>93</v>
      </c>
      <c r="D452" s="42" t="s">
        <v>396</v>
      </c>
      <c r="E452" s="42" t="s">
        <v>63</v>
      </c>
      <c r="F452" s="42" t="s">
        <v>44</v>
      </c>
      <c r="G452" s="41">
        <v>20</v>
      </c>
      <c r="H452" s="41">
        <v>0</v>
      </c>
      <c r="I452" s="40">
        <f>IF(B452="","",IF(I451="",MASTER!$C$7,I451)+N(H452)-N(G452))</f>
        <v>8837</v>
      </c>
      <c r="J452" s="39">
        <v>17000</v>
      </c>
      <c r="K452" s="22">
        <f t="shared" si="22"/>
        <v>340000</v>
      </c>
      <c r="L452" s="38">
        <f t="shared" si="23"/>
        <v>0</v>
      </c>
      <c r="M452" s="37"/>
    </row>
    <row r="453" spans="1:13" x14ac:dyDescent="0.35">
      <c r="A453" s="44" t="str">
        <f t="shared" si="21"/>
        <v>July 2026</v>
      </c>
      <c r="B453" s="43">
        <v>46211</v>
      </c>
      <c r="C453" s="42" t="s">
        <v>108</v>
      </c>
      <c r="D453" s="42" t="s">
        <v>107</v>
      </c>
      <c r="E453" s="42" t="s">
        <v>56</v>
      </c>
      <c r="F453" s="42" t="s">
        <v>44</v>
      </c>
      <c r="G453" s="41">
        <v>328</v>
      </c>
      <c r="H453" s="41">
        <v>0</v>
      </c>
      <c r="I453" s="40">
        <f>IF(B453="","",IF(I452="",MASTER!$C$7,I452)+N(H453)-N(G453))</f>
        <v>8509</v>
      </c>
      <c r="J453" s="39">
        <v>17000</v>
      </c>
      <c r="K453" s="22">
        <f t="shared" si="22"/>
        <v>5576000</v>
      </c>
      <c r="L453" s="38">
        <f t="shared" si="23"/>
        <v>0</v>
      </c>
      <c r="M453" s="37"/>
    </row>
    <row r="454" spans="1:13" x14ac:dyDescent="0.35">
      <c r="A454" s="44" t="str">
        <f t="shared" si="21"/>
        <v>July 2026</v>
      </c>
      <c r="B454" s="43">
        <v>46211</v>
      </c>
      <c r="C454" s="42" t="s">
        <v>93</v>
      </c>
      <c r="D454" s="42" t="s">
        <v>97</v>
      </c>
      <c r="E454" s="42" t="s">
        <v>63</v>
      </c>
      <c r="F454" s="42" t="s">
        <v>44</v>
      </c>
      <c r="G454" s="41">
        <v>20</v>
      </c>
      <c r="H454" s="41">
        <v>0</v>
      </c>
      <c r="I454" s="40">
        <f>IF(B454="","",IF(I453="",MASTER!$C$7,I453)+N(H454)-N(G454))</f>
        <v>8489</v>
      </c>
      <c r="J454" s="39">
        <v>17000</v>
      </c>
      <c r="K454" s="22">
        <f t="shared" si="22"/>
        <v>340000</v>
      </c>
      <c r="L454" s="38">
        <f t="shared" si="23"/>
        <v>0</v>
      </c>
      <c r="M454" s="37"/>
    </row>
    <row r="455" spans="1:13" x14ac:dyDescent="0.35">
      <c r="A455" s="44" t="str">
        <f t="shared" si="21"/>
        <v>July 2026</v>
      </c>
      <c r="B455" s="43">
        <v>46213</v>
      </c>
      <c r="C455" s="42" t="s">
        <v>108</v>
      </c>
      <c r="D455" s="42" t="s">
        <v>107</v>
      </c>
      <c r="E455" s="42" t="s">
        <v>56</v>
      </c>
      <c r="F455" s="42" t="s">
        <v>44</v>
      </c>
      <c r="G455" s="41">
        <v>304</v>
      </c>
      <c r="H455" s="41">
        <v>0</v>
      </c>
      <c r="I455" s="40">
        <f>IF(B455="","",IF(I454="",MASTER!$C$7,I454)+N(H455)-N(G455))</f>
        <v>8185</v>
      </c>
      <c r="J455" s="39">
        <v>17000</v>
      </c>
      <c r="K455" s="22">
        <f t="shared" si="22"/>
        <v>5168000</v>
      </c>
      <c r="L455" s="38">
        <f t="shared" si="23"/>
        <v>0</v>
      </c>
      <c r="M455" s="37"/>
    </row>
    <row r="456" spans="1:13" x14ac:dyDescent="0.35">
      <c r="A456" s="44" t="str">
        <f t="shared" si="21"/>
        <v>July 2026</v>
      </c>
      <c r="B456" s="43">
        <v>46213</v>
      </c>
      <c r="C456" s="42" t="s">
        <v>93</v>
      </c>
      <c r="D456" s="42" t="s">
        <v>97</v>
      </c>
      <c r="E456" s="42" t="s">
        <v>63</v>
      </c>
      <c r="F456" s="42" t="s">
        <v>44</v>
      </c>
      <c r="G456" s="41">
        <v>20</v>
      </c>
      <c r="H456" s="41">
        <v>0</v>
      </c>
      <c r="I456" s="40">
        <f>IF(B456="","",IF(I455="",MASTER!$C$7,I455)+N(H456)-N(G456))</f>
        <v>8165</v>
      </c>
      <c r="J456" s="39">
        <v>17000</v>
      </c>
      <c r="K456" s="22">
        <f t="shared" si="22"/>
        <v>340000</v>
      </c>
      <c r="L456" s="38">
        <f t="shared" si="23"/>
        <v>0</v>
      </c>
      <c r="M456" s="37"/>
    </row>
    <row r="457" spans="1:13" x14ac:dyDescent="0.35">
      <c r="A457" s="44" t="str">
        <f t="shared" si="21"/>
        <v>July 2026</v>
      </c>
      <c r="B457" s="43">
        <v>46215</v>
      </c>
      <c r="C457" s="42" t="s">
        <v>106</v>
      </c>
      <c r="D457" s="42" t="s">
        <v>92</v>
      </c>
      <c r="E457" s="42" t="s">
        <v>101</v>
      </c>
      <c r="F457" s="42" t="s">
        <v>44</v>
      </c>
      <c r="G457" s="41">
        <v>64</v>
      </c>
      <c r="H457" s="41">
        <v>0</v>
      </c>
      <c r="I457" s="40">
        <f>IF(B457="","",IF(I456="",MASTER!$C$7,I456)+N(H457)-N(G457))</f>
        <v>8101</v>
      </c>
      <c r="J457" s="39">
        <v>17000</v>
      </c>
      <c r="K457" s="22">
        <f t="shared" si="22"/>
        <v>1088000</v>
      </c>
      <c r="L457" s="38">
        <f t="shared" si="23"/>
        <v>0</v>
      </c>
      <c r="M457" s="37" t="s">
        <v>420</v>
      </c>
    </row>
    <row r="458" spans="1:13" x14ac:dyDescent="0.35">
      <c r="A458" s="44" t="str">
        <f t="shared" si="21"/>
        <v>July 2026</v>
      </c>
      <c r="B458" s="43">
        <v>46215</v>
      </c>
      <c r="C458" s="42" t="s">
        <v>77</v>
      </c>
      <c r="D458" s="42" t="s">
        <v>31</v>
      </c>
      <c r="E458" s="42" t="s">
        <v>63</v>
      </c>
      <c r="F458" s="42" t="s">
        <v>44</v>
      </c>
      <c r="G458" s="41">
        <v>35</v>
      </c>
      <c r="H458" s="41">
        <v>0</v>
      </c>
      <c r="I458" s="40">
        <f>IF(B458="","",IF(I457="",MASTER!$C$7,I457)+N(H458)-N(G458))</f>
        <v>8066</v>
      </c>
      <c r="J458" s="39">
        <v>17000</v>
      </c>
      <c r="K458" s="22">
        <f t="shared" si="22"/>
        <v>595000</v>
      </c>
      <c r="L458" s="38">
        <f t="shared" si="23"/>
        <v>0</v>
      </c>
      <c r="M458" s="37" t="s">
        <v>420</v>
      </c>
    </row>
    <row r="459" spans="1:13" x14ac:dyDescent="0.35">
      <c r="A459" s="44" t="str">
        <f t="shared" si="21"/>
        <v>July 2026</v>
      </c>
      <c r="B459" s="43">
        <v>46216</v>
      </c>
      <c r="C459" s="42" t="s">
        <v>58</v>
      </c>
      <c r="D459" s="42" t="s">
        <v>104</v>
      </c>
      <c r="E459" s="42" t="s">
        <v>63</v>
      </c>
      <c r="F459" s="42" t="s">
        <v>44</v>
      </c>
      <c r="G459" s="41">
        <v>100</v>
      </c>
      <c r="H459" s="41">
        <v>0</v>
      </c>
      <c r="I459" s="40">
        <f>IF(B459="","",IF(I458="",MASTER!$C$7,I458)+N(H459)-N(G459))</f>
        <v>7966</v>
      </c>
      <c r="J459" s="39">
        <v>17000</v>
      </c>
      <c r="K459" s="22">
        <f t="shared" si="22"/>
        <v>1700000</v>
      </c>
      <c r="L459" s="38">
        <f t="shared" si="23"/>
        <v>0</v>
      </c>
      <c r="M459" s="37" t="s">
        <v>420</v>
      </c>
    </row>
    <row r="460" spans="1:13" x14ac:dyDescent="0.35">
      <c r="A460" s="44" t="str">
        <f t="shared" si="21"/>
        <v>July 2026</v>
      </c>
      <c r="B460" s="43">
        <v>46216</v>
      </c>
      <c r="C460" s="42" t="s">
        <v>58</v>
      </c>
      <c r="D460" s="42" t="s">
        <v>103</v>
      </c>
      <c r="E460" s="42" t="s">
        <v>63</v>
      </c>
      <c r="F460" s="42" t="s">
        <v>44</v>
      </c>
      <c r="G460" s="41">
        <v>100</v>
      </c>
      <c r="H460" s="41">
        <v>0</v>
      </c>
      <c r="I460" s="40">
        <f>IF(B460="","",IF(I459="",MASTER!$C$7,I459)+N(H460)-N(G460))</f>
        <v>7866</v>
      </c>
      <c r="J460" s="39">
        <v>17000</v>
      </c>
      <c r="K460" s="22">
        <f t="shared" si="22"/>
        <v>1700000</v>
      </c>
      <c r="L460" s="38">
        <f t="shared" si="23"/>
        <v>0</v>
      </c>
      <c r="M460" s="37"/>
    </row>
    <row r="461" spans="1:13" x14ac:dyDescent="0.35">
      <c r="A461" s="44" t="str">
        <f t="shared" si="21"/>
        <v>July 2026</v>
      </c>
      <c r="B461" s="43">
        <v>46216</v>
      </c>
      <c r="C461" s="42" t="s">
        <v>58</v>
      </c>
      <c r="D461" s="42" t="s">
        <v>98</v>
      </c>
      <c r="E461" s="42" t="s">
        <v>63</v>
      </c>
      <c r="F461" s="42" t="s">
        <v>44</v>
      </c>
      <c r="G461" s="41">
        <v>100</v>
      </c>
      <c r="H461" s="41">
        <v>0</v>
      </c>
      <c r="I461" s="40">
        <f>IF(B461="","",IF(I460="",MASTER!$C$7,I460)+N(H461)-N(G461))</f>
        <v>7766</v>
      </c>
      <c r="J461" s="39">
        <v>17000</v>
      </c>
      <c r="K461" s="22">
        <f t="shared" si="22"/>
        <v>1700000</v>
      </c>
      <c r="L461" s="38">
        <f t="shared" si="23"/>
        <v>0</v>
      </c>
      <c r="M461" s="37" t="s">
        <v>420</v>
      </c>
    </row>
    <row r="462" spans="1:13" x14ac:dyDescent="0.35">
      <c r="A462" s="44" t="str">
        <f t="shared" si="21"/>
        <v>July 2026</v>
      </c>
      <c r="B462" s="43">
        <v>46216</v>
      </c>
      <c r="C462" s="42" t="s">
        <v>93</v>
      </c>
      <c r="D462" s="42" t="s">
        <v>31</v>
      </c>
      <c r="E462" s="42" t="s">
        <v>63</v>
      </c>
      <c r="F462" s="42" t="s">
        <v>44</v>
      </c>
      <c r="G462" s="41">
        <v>175</v>
      </c>
      <c r="H462" s="41">
        <v>0</v>
      </c>
      <c r="I462" s="40">
        <f>IF(B462="","",IF(I461="",MASTER!$C$7,I461)+N(H462)-N(G462))</f>
        <v>7591</v>
      </c>
      <c r="J462" s="39">
        <v>17000</v>
      </c>
      <c r="K462" s="22">
        <f t="shared" si="22"/>
        <v>2975000</v>
      </c>
      <c r="L462" s="38">
        <f t="shared" si="23"/>
        <v>0</v>
      </c>
      <c r="M462" s="37" t="s">
        <v>420</v>
      </c>
    </row>
    <row r="463" spans="1:13" x14ac:dyDescent="0.35">
      <c r="A463" s="44" t="str">
        <f t="shared" si="21"/>
        <v>July 2026</v>
      </c>
      <c r="B463" s="43">
        <v>46216</v>
      </c>
      <c r="C463" s="42" t="s">
        <v>93</v>
      </c>
      <c r="D463" s="42" t="s">
        <v>421</v>
      </c>
      <c r="E463" s="42" t="s">
        <v>63</v>
      </c>
      <c r="F463" s="42" t="s">
        <v>44</v>
      </c>
      <c r="G463" s="41">
        <v>175</v>
      </c>
      <c r="H463" s="41">
        <v>0</v>
      </c>
      <c r="I463" s="40">
        <f>IF(B463="","",IF(I462="",MASTER!$C$7,I462)+N(H463)-N(G463))</f>
        <v>7416</v>
      </c>
      <c r="J463" s="39">
        <v>17000</v>
      </c>
      <c r="K463" s="22">
        <f t="shared" si="22"/>
        <v>2975000</v>
      </c>
      <c r="L463" s="38">
        <f t="shared" si="23"/>
        <v>0</v>
      </c>
      <c r="M463" s="37"/>
    </row>
    <row r="464" spans="1:13" x14ac:dyDescent="0.35">
      <c r="A464" s="44" t="str">
        <f t="shared" si="21"/>
        <v>July 2026</v>
      </c>
      <c r="B464" s="43">
        <v>46217</v>
      </c>
      <c r="C464" s="42" t="s">
        <v>58</v>
      </c>
      <c r="D464" s="42" t="s">
        <v>104</v>
      </c>
      <c r="E464" s="42" t="s">
        <v>56</v>
      </c>
      <c r="F464" s="42" t="s">
        <v>44</v>
      </c>
      <c r="G464" s="41">
        <v>105</v>
      </c>
      <c r="H464" s="41">
        <v>0</v>
      </c>
      <c r="I464" s="40">
        <f>IF(B464="","",IF(I463="",MASTER!$C$7,I463)+N(H464)-N(G464))</f>
        <v>7311</v>
      </c>
      <c r="J464" s="39">
        <v>17000</v>
      </c>
      <c r="K464" s="22">
        <f t="shared" si="22"/>
        <v>1785000</v>
      </c>
      <c r="L464" s="38">
        <f t="shared" si="23"/>
        <v>0</v>
      </c>
      <c r="M464" s="37" t="s">
        <v>420</v>
      </c>
    </row>
    <row r="465" spans="1:13" x14ac:dyDescent="0.35">
      <c r="A465" s="44" t="str">
        <f t="shared" si="21"/>
        <v>July 2026</v>
      </c>
      <c r="B465" s="43">
        <v>46217</v>
      </c>
      <c r="C465" s="42" t="s">
        <v>58</v>
      </c>
      <c r="D465" s="42" t="s">
        <v>98</v>
      </c>
      <c r="E465" s="42" t="s">
        <v>56</v>
      </c>
      <c r="F465" s="42" t="s">
        <v>44</v>
      </c>
      <c r="G465" s="41">
        <v>105</v>
      </c>
      <c r="H465" s="41">
        <v>0</v>
      </c>
      <c r="I465" s="40">
        <f>IF(B465="","",IF(I464="",MASTER!$C$7,I464)+N(H465)-N(G465))</f>
        <v>7206</v>
      </c>
      <c r="J465" s="39">
        <v>17000</v>
      </c>
      <c r="K465" s="22">
        <f t="shared" si="22"/>
        <v>1785000</v>
      </c>
      <c r="L465" s="38">
        <f t="shared" si="23"/>
        <v>0</v>
      </c>
      <c r="M465" s="37" t="s">
        <v>420</v>
      </c>
    </row>
    <row r="466" spans="1:13" x14ac:dyDescent="0.35">
      <c r="A466" s="44" t="str">
        <f t="shared" si="21"/>
        <v>July 2026</v>
      </c>
      <c r="B466" s="43">
        <v>46217</v>
      </c>
      <c r="C466" s="42" t="s">
        <v>58</v>
      </c>
      <c r="D466" s="42" t="s">
        <v>103</v>
      </c>
      <c r="E466" s="42" t="s">
        <v>56</v>
      </c>
      <c r="F466" s="42" t="s">
        <v>44</v>
      </c>
      <c r="G466" s="41">
        <v>105</v>
      </c>
      <c r="H466" s="41">
        <v>0</v>
      </c>
      <c r="I466" s="40">
        <f>IF(B466="","",IF(I465="",MASTER!$C$7,I465)+N(H466)-N(G466))</f>
        <v>7101</v>
      </c>
      <c r="J466" s="39">
        <v>17000</v>
      </c>
      <c r="K466" s="22">
        <f t="shared" si="22"/>
        <v>1785000</v>
      </c>
      <c r="L466" s="38">
        <f t="shared" si="23"/>
        <v>0</v>
      </c>
      <c r="M466" s="37"/>
    </row>
    <row r="467" spans="1:13" x14ac:dyDescent="0.35">
      <c r="A467" s="44" t="str">
        <f t="shared" si="21"/>
        <v>July 2026</v>
      </c>
      <c r="B467" s="43">
        <v>46217</v>
      </c>
      <c r="C467" s="42" t="s">
        <v>62</v>
      </c>
      <c r="D467" s="42" t="s">
        <v>102</v>
      </c>
      <c r="E467" s="42"/>
      <c r="F467" s="42" t="s">
        <v>44</v>
      </c>
      <c r="G467" s="41">
        <v>0</v>
      </c>
      <c r="H467" s="41">
        <v>210</v>
      </c>
      <c r="I467" s="40">
        <f>IF(B467="","",IF(I466="",MASTER!$C$7,I466)+N(H467)-N(G467))</f>
        <v>7311</v>
      </c>
      <c r="J467" s="39">
        <v>17000</v>
      </c>
      <c r="K467" s="22">
        <f t="shared" si="22"/>
        <v>0</v>
      </c>
      <c r="L467" s="38">
        <f t="shared" si="23"/>
        <v>3570000</v>
      </c>
      <c r="M467" s="37"/>
    </row>
    <row r="468" spans="1:13" x14ac:dyDescent="0.35">
      <c r="A468" s="44" t="str">
        <f t="shared" si="21"/>
        <v>July 2026</v>
      </c>
      <c r="B468" s="43">
        <v>46218</v>
      </c>
      <c r="C468" s="42" t="s">
        <v>111</v>
      </c>
      <c r="D468" s="42" t="s">
        <v>412</v>
      </c>
      <c r="E468" s="42" t="s">
        <v>53</v>
      </c>
      <c r="F468" s="42" t="s">
        <v>44</v>
      </c>
      <c r="G468" s="41">
        <v>130</v>
      </c>
      <c r="H468" s="41">
        <v>0</v>
      </c>
      <c r="I468" s="40">
        <f>IF(B468="","",IF(I467="",MASTER!$C$7,I467)+N(H468)-N(G468))</f>
        <v>7181</v>
      </c>
      <c r="J468" s="39">
        <v>17000</v>
      </c>
      <c r="K468" s="22">
        <f t="shared" si="22"/>
        <v>2210000</v>
      </c>
      <c r="L468" s="38">
        <f t="shared" si="23"/>
        <v>0</v>
      </c>
      <c r="M468" s="37"/>
    </row>
    <row r="469" spans="1:13" x14ac:dyDescent="0.35">
      <c r="A469" s="44" t="str">
        <f t="shared" si="21"/>
        <v>July 2026</v>
      </c>
      <c r="B469" s="43">
        <v>46218</v>
      </c>
      <c r="C469" s="42" t="s">
        <v>83</v>
      </c>
      <c r="D469" s="42" t="s">
        <v>98</v>
      </c>
      <c r="E469" s="42" t="s">
        <v>56</v>
      </c>
      <c r="F469" s="42" t="s">
        <v>44</v>
      </c>
      <c r="G469" s="41">
        <v>175</v>
      </c>
      <c r="H469" s="41">
        <v>0</v>
      </c>
      <c r="I469" s="40">
        <f>IF(B469="","",IF(I468="",MASTER!$C$7,I468)+N(H469)-N(G469))</f>
        <v>7006</v>
      </c>
      <c r="J469" s="39">
        <v>17000</v>
      </c>
      <c r="K469" s="22">
        <f t="shared" si="22"/>
        <v>2975000</v>
      </c>
      <c r="L469" s="38">
        <f t="shared" si="23"/>
        <v>0</v>
      </c>
      <c r="M469" s="37" t="s">
        <v>420</v>
      </c>
    </row>
    <row r="470" spans="1:13" x14ac:dyDescent="0.35">
      <c r="A470" s="44" t="str">
        <f t="shared" si="21"/>
        <v>July 2026</v>
      </c>
      <c r="B470" s="43">
        <v>46218</v>
      </c>
      <c r="C470" s="42" t="s">
        <v>86</v>
      </c>
      <c r="D470" s="42" t="s">
        <v>422</v>
      </c>
      <c r="E470" s="42" t="s">
        <v>56</v>
      </c>
      <c r="F470" s="42" t="s">
        <v>44</v>
      </c>
      <c r="G470" s="41">
        <v>210</v>
      </c>
      <c r="H470" s="41">
        <v>0</v>
      </c>
      <c r="I470" s="40">
        <f>IF(B470="","",IF(I469="",MASTER!$C$7,I469)+N(H470)-N(G470))</f>
        <v>6796</v>
      </c>
      <c r="J470" s="39">
        <v>17000</v>
      </c>
      <c r="K470" s="22">
        <f t="shared" si="22"/>
        <v>3570000</v>
      </c>
      <c r="L470" s="38">
        <f t="shared" si="23"/>
        <v>0</v>
      </c>
      <c r="M470" s="37"/>
    </row>
    <row r="471" spans="1:13" x14ac:dyDescent="0.35">
      <c r="A471" s="44" t="str">
        <f t="shared" si="21"/>
        <v>July 2026</v>
      </c>
      <c r="B471" s="43">
        <v>46218</v>
      </c>
      <c r="C471" s="42" t="s">
        <v>84</v>
      </c>
      <c r="D471" s="42" t="s">
        <v>104</v>
      </c>
      <c r="E471" s="42" t="s">
        <v>56</v>
      </c>
      <c r="F471" s="42" t="s">
        <v>44</v>
      </c>
      <c r="G471" s="41">
        <v>175</v>
      </c>
      <c r="H471" s="41">
        <v>0</v>
      </c>
      <c r="I471" s="40">
        <f>IF(B471="","",IF(I470="",MASTER!$C$7,I470)+N(H471)-N(G471))</f>
        <v>6621</v>
      </c>
      <c r="J471" s="39">
        <v>17000</v>
      </c>
      <c r="K471" s="22">
        <f t="shared" si="22"/>
        <v>2975000</v>
      </c>
      <c r="L471" s="38">
        <f t="shared" si="23"/>
        <v>0</v>
      </c>
      <c r="M471" s="37" t="s">
        <v>420</v>
      </c>
    </row>
    <row r="472" spans="1:13" x14ac:dyDescent="0.35">
      <c r="A472" s="44" t="str">
        <f t="shared" si="21"/>
        <v>July 2026</v>
      </c>
      <c r="B472" s="43">
        <v>46218</v>
      </c>
      <c r="C472" s="42" t="s">
        <v>100</v>
      </c>
      <c r="D472" s="42" t="s">
        <v>103</v>
      </c>
      <c r="E472" s="42" t="s">
        <v>56</v>
      </c>
      <c r="F472" s="42" t="s">
        <v>44</v>
      </c>
      <c r="G472" s="41">
        <v>140</v>
      </c>
      <c r="H472" s="41">
        <v>0</v>
      </c>
      <c r="I472" s="40">
        <f>IF(B472="","",IF(I471="",MASTER!$C$7,I471)+N(H472)-N(G472))</f>
        <v>6481</v>
      </c>
      <c r="J472" s="39">
        <v>17000</v>
      </c>
      <c r="K472" s="22">
        <f t="shared" si="22"/>
        <v>2380000</v>
      </c>
      <c r="L472" s="38">
        <f t="shared" si="23"/>
        <v>0</v>
      </c>
      <c r="M472" s="37"/>
    </row>
    <row r="473" spans="1:13" x14ac:dyDescent="0.35">
      <c r="A473" s="44" t="str">
        <f t="shared" si="21"/>
        <v>July 2026</v>
      </c>
      <c r="B473" s="43">
        <v>46218</v>
      </c>
      <c r="C473" s="42" t="s">
        <v>50</v>
      </c>
      <c r="D473" s="42" t="s">
        <v>414</v>
      </c>
      <c r="E473" s="42" t="s">
        <v>53</v>
      </c>
      <c r="F473" s="42" t="s">
        <v>44</v>
      </c>
      <c r="G473" s="41">
        <v>148</v>
      </c>
      <c r="H473" s="41">
        <v>0</v>
      </c>
      <c r="I473" s="40">
        <f>IF(B473="","",IF(I472="",MASTER!$C$7,I472)+N(H473)-N(G473))</f>
        <v>6333</v>
      </c>
      <c r="J473" s="39">
        <v>17000</v>
      </c>
      <c r="K473" s="22">
        <f t="shared" si="22"/>
        <v>2516000</v>
      </c>
      <c r="L473" s="38">
        <f t="shared" si="23"/>
        <v>0</v>
      </c>
      <c r="M473" s="37"/>
    </row>
    <row r="474" spans="1:13" x14ac:dyDescent="0.35">
      <c r="A474" s="44" t="str">
        <f t="shared" si="21"/>
        <v>July 2026</v>
      </c>
      <c r="B474" s="43">
        <v>46218</v>
      </c>
      <c r="C474" s="42" t="s">
        <v>64</v>
      </c>
      <c r="D474" s="42" t="s">
        <v>413</v>
      </c>
      <c r="E474" s="42" t="s">
        <v>53</v>
      </c>
      <c r="F474" s="42" t="s">
        <v>44</v>
      </c>
      <c r="G474" s="41">
        <v>243</v>
      </c>
      <c r="H474" s="41">
        <v>0</v>
      </c>
      <c r="I474" s="40">
        <f>IF(B474="","",IF(I473="",MASTER!$C$7,I473)+N(H474)-N(G474))</f>
        <v>6090</v>
      </c>
      <c r="J474" s="39">
        <v>17000</v>
      </c>
      <c r="K474" s="22">
        <f t="shared" si="22"/>
        <v>4131000</v>
      </c>
      <c r="L474" s="38">
        <f t="shared" si="23"/>
        <v>0</v>
      </c>
      <c r="M474" s="37"/>
    </row>
    <row r="475" spans="1:13" x14ac:dyDescent="0.35">
      <c r="A475" s="44" t="str">
        <f t="shared" si="21"/>
        <v>July 2026</v>
      </c>
      <c r="B475" s="43">
        <v>46218</v>
      </c>
      <c r="C475" s="42" t="s">
        <v>93</v>
      </c>
      <c r="D475" s="42" t="s">
        <v>415</v>
      </c>
      <c r="E475" s="42" t="s">
        <v>53</v>
      </c>
      <c r="F475" s="42" t="s">
        <v>44</v>
      </c>
      <c r="G475" s="41">
        <v>140</v>
      </c>
      <c r="H475" s="41">
        <v>0</v>
      </c>
      <c r="I475" s="40">
        <f>IF(B475="","",IF(I474="",MASTER!$C$7,I474)+N(H475)-N(G475))</f>
        <v>5950</v>
      </c>
      <c r="J475" s="39">
        <v>17000</v>
      </c>
      <c r="K475" s="22">
        <f t="shared" si="22"/>
        <v>2380000</v>
      </c>
      <c r="L475" s="38">
        <f t="shared" si="23"/>
        <v>0</v>
      </c>
      <c r="M475" s="37"/>
    </row>
    <row r="476" spans="1:13" x14ac:dyDescent="0.35">
      <c r="A476" s="44" t="str">
        <f t="shared" si="21"/>
        <v>July 2026</v>
      </c>
      <c r="B476" s="43">
        <v>46218</v>
      </c>
      <c r="C476" s="42" t="s">
        <v>99</v>
      </c>
      <c r="D476" s="42" t="s">
        <v>31</v>
      </c>
      <c r="E476" s="42" t="s">
        <v>63</v>
      </c>
      <c r="F476" s="42" t="s">
        <v>44</v>
      </c>
      <c r="G476" s="41">
        <v>175</v>
      </c>
      <c r="H476" s="41">
        <v>0</v>
      </c>
      <c r="I476" s="40">
        <f>IF(B476="","",IF(I475="",MASTER!$C$7,I475)+N(H476)-N(G476))</f>
        <v>5775</v>
      </c>
      <c r="J476" s="39">
        <v>17000</v>
      </c>
      <c r="K476" s="22">
        <f t="shared" si="22"/>
        <v>2975000</v>
      </c>
      <c r="L476" s="38">
        <f t="shared" si="23"/>
        <v>0</v>
      </c>
      <c r="M476" s="37" t="s">
        <v>420</v>
      </c>
    </row>
    <row r="477" spans="1:13" x14ac:dyDescent="0.35">
      <c r="A477" s="44" t="str">
        <f t="shared" si="21"/>
        <v>July 2026</v>
      </c>
      <c r="B477" s="43">
        <v>46218</v>
      </c>
      <c r="C477" s="42" t="s">
        <v>51</v>
      </c>
      <c r="D477" s="42" t="s">
        <v>421</v>
      </c>
      <c r="E477" s="42" t="s">
        <v>63</v>
      </c>
      <c r="F477" s="42" t="s">
        <v>44</v>
      </c>
      <c r="G477" s="41">
        <v>175</v>
      </c>
      <c r="H477" s="41">
        <v>0</v>
      </c>
      <c r="I477" s="40">
        <f>IF(B477="","",IF(I476="",MASTER!$C$7,I476)+N(H477)-N(G477))</f>
        <v>5600</v>
      </c>
      <c r="J477" s="39">
        <v>17000</v>
      </c>
      <c r="K477" s="22">
        <f t="shared" si="22"/>
        <v>2975000</v>
      </c>
      <c r="L477" s="38">
        <f t="shared" si="23"/>
        <v>0</v>
      </c>
      <c r="M477" s="37"/>
    </row>
    <row r="478" spans="1:13" x14ac:dyDescent="0.35">
      <c r="A478" s="44" t="str">
        <f t="shared" si="21"/>
        <v>July 2026</v>
      </c>
      <c r="B478" s="43">
        <v>46218</v>
      </c>
      <c r="C478" s="42" t="s">
        <v>93</v>
      </c>
      <c r="D478" s="42" t="s">
        <v>97</v>
      </c>
      <c r="E478" s="42" t="s">
        <v>63</v>
      </c>
      <c r="F478" s="42" t="s">
        <v>44</v>
      </c>
      <c r="G478" s="41">
        <v>20</v>
      </c>
      <c r="H478" s="41">
        <v>0</v>
      </c>
      <c r="I478" s="40">
        <f>IF(B478="","",IF(I477="",MASTER!$C$7,I477)+N(H478)-N(G478))</f>
        <v>5580</v>
      </c>
      <c r="J478" s="39">
        <v>17000</v>
      </c>
      <c r="K478" s="22">
        <f t="shared" si="22"/>
        <v>340000</v>
      </c>
      <c r="L478" s="38">
        <f t="shared" si="23"/>
        <v>0</v>
      </c>
      <c r="M478" s="37"/>
    </row>
    <row r="479" spans="1:13" x14ac:dyDescent="0.35">
      <c r="A479" s="44" t="str">
        <f t="shared" si="21"/>
        <v>July 2026</v>
      </c>
      <c r="B479" s="43">
        <v>46218</v>
      </c>
      <c r="C479" s="42" t="s">
        <v>93</v>
      </c>
      <c r="D479" s="42" t="s">
        <v>97</v>
      </c>
      <c r="E479" s="42" t="s">
        <v>63</v>
      </c>
      <c r="F479" s="42" t="s">
        <v>44</v>
      </c>
      <c r="G479" s="41">
        <v>20</v>
      </c>
      <c r="H479" s="41">
        <v>0</v>
      </c>
      <c r="I479" s="40">
        <f>IF(B479="","",IF(I478="",MASTER!$C$7,I478)+N(H479)-N(G479))</f>
        <v>5560</v>
      </c>
      <c r="J479" s="39">
        <v>17000</v>
      </c>
      <c r="K479" s="22">
        <f t="shared" si="22"/>
        <v>340000</v>
      </c>
      <c r="L479" s="38">
        <f t="shared" si="23"/>
        <v>0</v>
      </c>
      <c r="M479" s="37"/>
    </row>
    <row r="480" spans="1:13" x14ac:dyDescent="0.35">
      <c r="A480" s="44" t="str">
        <f t="shared" si="21"/>
        <v>July 2026</v>
      </c>
      <c r="B480" s="43">
        <v>46218</v>
      </c>
      <c r="C480" s="42" t="s">
        <v>68</v>
      </c>
      <c r="D480" s="42" t="s">
        <v>92</v>
      </c>
      <c r="E480" s="42" t="s">
        <v>101</v>
      </c>
      <c r="F480" s="42" t="s">
        <v>44</v>
      </c>
      <c r="G480" s="41">
        <v>75</v>
      </c>
      <c r="H480" s="41">
        <v>0</v>
      </c>
      <c r="I480" s="40">
        <f>IF(B480="","",IF(I479="",MASTER!$C$7,I479)+N(H480)-N(G480))</f>
        <v>5485</v>
      </c>
      <c r="J480" s="39">
        <v>17000</v>
      </c>
      <c r="K480" s="22">
        <f t="shared" si="22"/>
        <v>1275000</v>
      </c>
      <c r="L480" s="38">
        <f t="shared" si="23"/>
        <v>0</v>
      </c>
      <c r="M480" s="37" t="s">
        <v>420</v>
      </c>
    </row>
    <row r="481" spans="1:13" x14ac:dyDescent="0.35">
      <c r="A481" s="44" t="str">
        <f t="shared" si="21"/>
        <v>July 2026</v>
      </c>
      <c r="B481" s="43">
        <v>46219</v>
      </c>
      <c r="C481" s="42" t="s">
        <v>84</v>
      </c>
      <c r="D481" s="42" t="s">
        <v>104</v>
      </c>
      <c r="E481" s="42" t="s">
        <v>56</v>
      </c>
      <c r="F481" s="42" t="s">
        <v>44</v>
      </c>
      <c r="G481" s="41">
        <v>150</v>
      </c>
      <c r="H481" s="41">
        <v>0</v>
      </c>
      <c r="I481" s="40">
        <f>IF(B481="","",IF(I480="",MASTER!$C$7,I480)+N(H481)-N(G481))</f>
        <v>5335</v>
      </c>
      <c r="J481" s="39">
        <v>17000</v>
      </c>
      <c r="K481" s="22">
        <f t="shared" si="22"/>
        <v>2550000</v>
      </c>
      <c r="L481" s="38">
        <f t="shared" si="23"/>
        <v>0</v>
      </c>
      <c r="M481" s="37" t="s">
        <v>420</v>
      </c>
    </row>
    <row r="482" spans="1:13" x14ac:dyDescent="0.35">
      <c r="A482" s="44" t="str">
        <f t="shared" si="21"/>
        <v>July 2026</v>
      </c>
      <c r="B482" s="43">
        <v>46219</v>
      </c>
      <c r="C482" s="42" t="s">
        <v>86</v>
      </c>
      <c r="D482" s="42" t="s">
        <v>422</v>
      </c>
      <c r="E482" s="42" t="s">
        <v>56</v>
      </c>
      <c r="F482" s="42" t="s">
        <v>44</v>
      </c>
      <c r="G482" s="41">
        <v>140</v>
      </c>
      <c r="H482" s="41">
        <v>0</v>
      </c>
      <c r="I482" s="40">
        <f>IF(B482="","",IF(I481="",MASTER!$C$7,I481)+N(H482)-N(G482))</f>
        <v>5195</v>
      </c>
      <c r="J482" s="39">
        <v>17000</v>
      </c>
      <c r="K482" s="22">
        <f t="shared" si="22"/>
        <v>2380000</v>
      </c>
      <c r="L482" s="38">
        <f t="shared" si="23"/>
        <v>0</v>
      </c>
      <c r="M482" s="37"/>
    </row>
    <row r="483" spans="1:13" x14ac:dyDescent="0.35">
      <c r="A483" s="44" t="str">
        <f t="shared" si="21"/>
        <v>July 2026</v>
      </c>
      <c r="B483" s="43">
        <v>46219</v>
      </c>
      <c r="C483" s="42" t="s">
        <v>100</v>
      </c>
      <c r="D483" s="42" t="s">
        <v>103</v>
      </c>
      <c r="E483" s="42" t="s">
        <v>56</v>
      </c>
      <c r="F483" s="42" t="s">
        <v>44</v>
      </c>
      <c r="G483" s="41">
        <v>170</v>
      </c>
      <c r="H483" s="41">
        <v>0</v>
      </c>
      <c r="I483" s="40">
        <f>IF(B483="","",IF(I482="",MASTER!$C$7,I482)+N(H483)-N(G483))</f>
        <v>5025</v>
      </c>
      <c r="J483" s="39">
        <v>17000</v>
      </c>
      <c r="K483" s="22">
        <f t="shared" si="22"/>
        <v>2890000</v>
      </c>
      <c r="L483" s="38">
        <f t="shared" si="23"/>
        <v>0</v>
      </c>
      <c r="M483" s="37"/>
    </row>
    <row r="484" spans="1:13" x14ac:dyDescent="0.35">
      <c r="A484" s="44" t="str">
        <f t="shared" si="21"/>
        <v>July 2026</v>
      </c>
      <c r="B484" s="43">
        <v>46219</v>
      </c>
      <c r="C484" s="42" t="s">
        <v>83</v>
      </c>
      <c r="D484" s="42" t="s">
        <v>98</v>
      </c>
      <c r="E484" s="42" t="s">
        <v>56</v>
      </c>
      <c r="F484" s="42" t="s">
        <v>44</v>
      </c>
      <c r="G484" s="41">
        <v>105</v>
      </c>
      <c r="H484" s="41">
        <v>0</v>
      </c>
      <c r="I484" s="40">
        <f>IF(B484="","",IF(I483="",MASTER!$C$7,I483)+N(H484)-N(G484))</f>
        <v>4920</v>
      </c>
      <c r="J484" s="39">
        <v>17000</v>
      </c>
      <c r="K484" s="22">
        <f t="shared" si="22"/>
        <v>1785000</v>
      </c>
      <c r="L484" s="38">
        <f t="shared" si="23"/>
        <v>0</v>
      </c>
      <c r="M484" s="37" t="s">
        <v>420</v>
      </c>
    </row>
    <row r="485" spans="1:13" x14ac:dyDescent="0.35">
      <c r="A485" s="44" t="str">
        <f t="shared" si="21"/>
        <v>July 2026</v>
      </c>
      <c r="B485" s="43">
        <v>46219</v>
      </c>
      <c r="C485" s="42" t="s">
        <v>69</v>
      </c>
      <c r="D485" s="42" t="s">
        <v>415</v>
      </c>
      <c r="E485" s="42" t="s">
        <v>53</v>
      </c>
      <c r="F485" s="42" t="s">
        <v>44</v>
      </c>
      <c r="G485" s="41">
        <v>105</v>
      </c>
      <c r="H485" s="41">
        <v>0</v>
      </c>
      <c r="I485" s="40">
        <f>IF(B485="","",IF(I484="",MASTER!$C$7,I484)+N(H485)-N(G485))</f>
        <v>4815</v>
      </c>
      <c r="J485" s="39">
        <v>17000</v>
      </c>
      <c r="K485" s="22">
        <f t="shared" si="22"/>
        <v>1785000</v>
      </c>
      <c r="L485" s="38">
        <f t="shared" si="23"/>
        <v>0</v>
      </c>
      <c r="M485" s="37"/>
    </row>
    <row r="486" spans="1:13" x14ac:dyDescent="0.35">
      <c r="A486" s="44" t="str">
        <f t="shared" si="21"/>
        <v>July 2026</v>
      </c>
      <c r="B486" s="43">
        <v>46219</v>
      </c>
      <c r="C486" s="42" t="s">
        <v>51</v>
      </c>
      <c r="D486" s="42" t="s">
        <v>421</v>
      </c>
      <c r="E486" s="42" t="s">
        <v>63</v>
      </c>
      <c r="F486" s="42" t="s">
        <v>44</v>
      </c>
      <c r="G486" s="41">
        <v>140</v>
      </c>
      <c r="H486" s="41">
        <v>0</v>
      </c>
      <c r="I486" s="40">
        <f>IF(B486="","",IF(I485="",MASTER!$C$7,I485)+N(H486)-N(G486))</f>
        <v>4675</v>
      </c>
      <c r="J486" s="39">
        <v>17000</v>
      </c>
      <c r="K486" s="22">
        <f t="shared" si="22"/>
        <v>2380000</v>
      </c>
      <c r="L486" s="38">
        <f t="shared" si="23"/>
        <v>0</v>
      </c>
      <c r="M486" s="37"/>
    </row>
    <row r="487" spans="1:13" x14ac:dyDescent="0.35">
      <c r="A487" s="44" t="str">
        <f t="shared" si="21"/>
        <v>July 2026</v>
      </c>
      <c r="B487" s="43">
        <v>46219</v>
      </c>
      <c r="C487" s="42" t="s">
        <v>99</v>
      </c>
      <c r="D487" s="42" t="s">
        <v>31</v>
      </c>
      <c r="E487" s="42" t="s">
        <v>63</v>
      </c>
      <c r="F487" s="42" t="s">
        <v>44</v>
      </c>
      <c r="G487" s="41">
        <v>105</v>
      </c>
      <c r="H487" s="41">
        <v>0</v>
      </c>
      <c r="I487" s="40">
        <f>IF(B487="","",IF(I486="",MASTER!$C$7,I486)+N(H487)-N(G487))</f>
        <v>4570</v>
      </c>
      <c r="J487" s="39">
        <v>17000</v>
      </c>
      <c r="K487" s="22">
        <f t="shared" si="22"/>
        <v>1785000</v>
      </c>
      <c r="L487" s="38">
        <f t="shared" si="23"/>
        <v>0</v>
      </c>
      <c r="M487" s="37" t="s">
        <v>420</v>
      </c>
    </row>
    <row r="488" spans="1:13" x14ac:dyDescent="0.35">
      <c r="A488" s="44" t="str">
        <f t="shared" si="21"/>
        <v>July 2026</v>
      </c>
      <c r="B488" s="43">
        <v>46220</v>
      </c>
      <c r="C488" s="42" t="s">
        <v>84</v>
      </c>
      <c r="D488" s="42" t="s">
        <v>104</v>
      </c>
      <c r="E488" s="42" t="s">
        <v>56</v>
      </c>
      <c r="F488" s="42" t="s">
        <v>44</v>
      </c>
      <c r="G488" s="41">
        <v>70</v>
      </c>
      <c r="H488" s="41">
        <v>0</v>
      </c>
      <c r="I488" s="40">
        <f>IF(B488="","",IF(I487="",MASTER!$C$7,I487)+N(H488)-N(G488))</f>
        <v>4500</v>
      </c>
      <c r="J488" s="39">
        <v>17000</v>
      </c>
      <c r="K488" s="22">
        <f t="shared" si="22"/>
        <v>1190000</v>
      </c>
      <c r="L488" s="38">
        <f t="shared" si="23"/>
        <v>0</v>
      </c>
      <c r="M488" s="37" t="s">
        <v>420</v>
      </c>
    </row>
    <row r="489" spans="1:13" x14ac:dyDescent="0.35">
      <c r="A489" s="44" t="str">
        <f t="shared" si="21"/>
        <v>July 2026</v>
      </c>
      <c r="B489" s="43">
        <v>46220</v>
      </c>
      <c r="C489" s="42" t="s">
        <v>90</v>
      </c>
      <c r="D489" s="42" t="s">
        <v>103</v>
      </c>
      <c r="E489" s="42" t="s">
        <v>56</v>
      </c>
      <c r="F489" s="42" t="s">
        <v>44</v>
      </c>
      <c r="G489" s="41">
        <v>70</v>
      </c>
      <c r="H489" s="41">
        <v>0</v>
      </c>
      <c r="I489" s="40">
        <f>IF(B489="","",IF(I488="",MASTER!$C$7,I488)+N(H489)-N(G489))</f>
        <v>4430</v>
      </c>
      <c r="J489" s="39">
        <v>17000</v>
      </c>
      <c r="K489" s="22">
        <f t="shared" si="22"/>
        <v>1190000</v>
      </c>
      <c r="L489" s="38">
        <f t="shared" si="23"/>
        <v>0</v>
      </c>
      <c r="M489" s="37"/>
    </row>
    <row r="490" spans="1:13" x14ac:dyDescent="0.35">
      <c r="A490" s="44" t="str">
        <f t="shared" si="21"/>
        <v>July 2026</v>
      </c>
      <c r="B490" s="43">
        <v>46220</v>
      </c>
      <c r="C490" s="42" t="s">
        <v>83</v>
      </c>
      <c r="D490" s="42" t="s">
        <v>98</v>
      </c>
      <c r="E490" s="42" t="s">
        <v>56</v>
      </c>
      <c r="F490" s="42" t="s">
        <v>44</v>
      </c>
      <c r="G490" s="41">
        <v>70</v>
      </c>
      <c r="H490" s="41">
        <v>0</v>
      </c>
      <c r="I490" s="40">
        <f>IF(B490="","",IF(I489="",MASTER!$C$7,I489)+N(H490)-N(G490))</f>
        <v>4360</v>
      </c>
      <c r="J490" s="39">
        <v>17000</v>
      </c>
      <c r="K490" s="22">
        <f t="shared" si="22"/>
        <v>1190000</v>
      </c>
      <c r="L490" s="38">
        <f t="shared" si="23"/>
        <v>0</v>
      </c>
      <c r="M490" s="37" t="s">
        <v>420</v>
      </c>
    </row>
    <row r="491" spans="1:13" x14ac:dyDescent="0.35">
      <c r="A491" s="44" t="str">
        <f t="shared" si="21"/>
        <v>July 2026</v>
      </c>
      <c r="B491" s="43">
        <v>46220</v>
      </c>
      <c r="C491" s="42" t="s">
        <v>86</v>
      </c>
      <c r="D491" s="42" t="s">
        <v>422</v>
      </c>
      <c r="E491" s="42" t="s">
        <v>56</v>
      </c>
      <c r="F491" s="42" t="s">
        <v>44</v>
      </c>
      <c r="G491" s="41">
        <v>70</v>
      </c>
      <c r="H491" s="41">
        <v>0</v>
      </c>
      <c r="I491" s="40">
        <f>IF(B491="","",IF(I490="",MASTER!$C$7,I490)+N(H491)-N(G491))</f>
        <v>4290</v>
      </c>
      <c r="J491" s="39">
        <v>17000</v>
      </c>
      <c r="K491" s="22">
        <f t="shared" si="22"/>
        <v>1190000</v>
      </c>
      <c r="L491" s="38">
        <f t="shared" si="23"/>
        <v>0</v>
      </c>
      <c r="M491" s="37"/>
    </row>
    <row r="492" spans="1:13" x14ac:dyDescent="0.35">
      <c r="A492" s="44" t="str">
        <f t="shared" si="21"/>
        <v>July 2026</v>
      </c>
      <c r="B492" s="43">
        <v>46220</v>
      </c>
      <c r="C492" s="42" t="s">
        <v>84</v>
      </c>
      <c r="D492" s="42" t="s">
        <v>98</v>
      </c>
      <c r="E492" s="42" t="s">
        <v>56</v>
      </c>
      <c r="F492" s="42" t="s">
        <v>44</v>
      </c>
      <c r="G492" s="41">
        <v>70</v>
      </c>
      <c r="H492" s="41">
        <v>0</v>
      </c>
      <c r="I492" s="40">
        <f>IF(B492="","",IF(I491="",MASTER!$C$7,I491)+N(H492)-N(G492))</f>
        <v>4220</v>
      </c>
      <c r="J492" s="39">
        <v>17000</v>
      </c>
      <c r="K492" s="22">
        <f t="shared" si="22"/>
        <v>1190000</v>
      </c>
      <c r="L492" s="38">
        <f t="shared" si="23"/>
        <v>0</v>
      </c>
      <c r="M492" s="37" t="s">
        <v>420</v>
      </c>
    </row>
    <row r="493" spans="1:13" x14ac:dyDescent="0.35">
      <c r="A493" s="44" t="str">
        <f t="shared" si="21"/>
        <v>July 2026</v>
      </c>
      <c r="B493" s="43">
        <v>46220</v>
      </c>
      <c r="C493" s="42" t="s">
        <v>83</v>
      </c>
      <c r="D493" s="42" t="s">
        <v>104</v>
      </c>
      <c r="E493" s="42" t="s">
        <v>56</v>
      </c>
      <c r="F493" s="42" t="s">
        <v>44</v>
      </c>
      <c r="G493" s="41">
        <v>70</v>
      </c>
      <c r="H493" s="41">
        <v>0</v>
      </c>
      <c r="I493" s="40">
        <f>IF(B493="","",IF(I492="",MASTER!$C$7,I492)+N(H493)-N(G493))</f>
        <v>4150</v>
      </c>
      <c r="J493" s="39">
        <v>17000</v>
      </c>
      <c r="K493" s="22">
        <f t="shared" si="22"/>
        <v>1190000</v>
      </c>
      <c r="L493" s="38">
        <f t="shared" si="23"/>
        <v>0</v>
      </c>
      <c r="M493" s="37" t="s">
        <v>420</v>
      </c>
    </row>
    <row r="494" spans="1:13" x14ac:dyDescent="0.35">
      <c r="A494" s="44" t="str">
        <f t="shared" si="21"/>
        <v>July 2026</v>
      </c>
      <c r="B494" s="43">
        <v>46220</v>
      </c>
      <c r="C494" s="42" t="s">
        <v>90</v>
      </c>
      <c r="D494" s="42" t="s">
        <v>103</v>
      </c>
      <c r="E494" s="42" t="s">
        <v>56</v>
      </c>
      <c r="F494" s="42" t="s">
        <v>44</v>
      </c>
      <c r="G494" s="41">
        <v>70</v>
      </c>
      <c r="H494" s="41">
        <v>0</v>
      </c>
      <c r="I494" s="40">
        <f>IF(B494="","",IF(I493="",MASTER!$C$7,I493)+N(H494)-N(G494))</f>
        <v>4080</v>
      </c>
      <c r="J494" s="39">
        <v>17000</v>
      </c>
      <c r="K494" s="22">
        <f t="shared" si="22"/>
        <v>1190000</v>
      </c>
      <c r="L494" s="38">
        <f t="shared" si="23"/>
        <v>0</v>
      </c>
      <c r="M494" s="37"/>
    </row>
    <row r="495" spans="1:13" x14ac:dyDescent="0.35">
      <c r="A495" s="44" t="str">
        <f t="shared" si="21"/>
        <v>July 2026</v>
      </c>
      <c r="B495" s="43">
        <v>46220</v>
      </c>
      <c r="C495" s="42" t="s">
        <v>69</v>
      </c>
      <c r="D495" s="42" t="s">
        <v>415</v>
      </c>
      <c r="E495" s="42" t="s">
        <v>53</v>
      </c>
      <c r="F495" s="42" t="s">
        <v>44</v>
      </c>
      <c r="G495" s="41">
        <v>105</v>
      </c>
      <c r="H495" s="41">
        <v>0</v>
      </c>
      <c r="I495" s="40">
        <f>IF(B495="","",IF(I494="",MASTER!$C$7,I494)+N(H495)-N(G495))</f>
        <v>3975</v>
      </c>
      <c r="J495" s="39">
        <v>17000</v>
      </c>
      <c r="K495" s="22">
        <f t="shared" si="22"/>
        <v>1785000</v>
      </c>
      <c r="L495" s="38">
        <f t="shared" si="23"/>
        <v>0</v>
      </c>
      <c r="M495" s="37"/>
    </row>
    <row r="496" spans="1:13" x14ac:dyDescent="0.35">
      <c r="A496" s="44" t="str">
        <f t="shared" si="21"/>
        <v>July 2026</v>
      </c>
      <c r="B496" s="43">
        <v>46220</v>
      </c>
      <c r="C496" s="42" t="s">
        <v>93</v>
      </c>
      <c r="D496" s="42" t="s">
        <v>97</v>
      </c>
      <c r="E496" s="42" t="s">
        <v>63</v>
      </c>
      <c r="F496" s="42" t="s">
        <v>44</v>
      </c>
      <c r="G496" s="41">
        <v>20</v>
      </c>
      <c r="H496" s="41">
        <v>0</v>
      </c>
      <c r="I496" s="40">
        <f>IF(B496="","",IF(I495="",MASTER!$C$7,I495)+N(H496)-N(G496))</f>
        <v>3955</v>
      </c>
      <c r="J496" s="39">
        <v>17000</v>
      </c>
      <c r="K496" s="22">
        <f t="shared" si="22"/>
        <v>340000</v>
      </c>
      <c r="L496" s="38">
        <f t="shared" si="23"/>
        <v>0</v>
      </c>
      <c r="M496" s="37"/>
    </row>
    <row r="497" spans="1:13" x14ac:dyDescent="0.35">
      <c r="A497" s="44" t="str">
        <f t="shared" si="21"/>
        <v>BBM HILANG/BOCOR</v>
      </c>
      <c r="B497" s="43" t="s">
        <v>96</v>
      </c>
      <c r="C497" s="42"/>
      <c r="D497" s="42"/>
      <c r="E497" s="42" t="s">
        <v>60</v>
      </c>
      <c r="F497" s="42" t="s">
        <v>44</v>
      </c>
      <c r="G497" s="41">
        <v>3290</v>
      </c>
      <c r="H497" s="41">
        <v>0</v>
      </c>
      <c r="I497" s="40">
        <f>IF(B497="","",IF(I496="",MASTER!$C$7,I496)+N(H497)-N(G497))</f>
        <v>665</v>
      </c>
      <c r="J497" s="39">
        <v>17000</v>
      </c>
      <c r="K497" s="22">
        <f t="shared" si="22"/>
        <v>55930000</v>
      </c>
      <c r="L497" s="38">
        <f t="shared" si="23"/>
        <v>0</v>
      </c>
      <c r="M497" s="37" t="s">
        <v>95</v>
      </c>
    </row>
    <row r="498" spans="1:13" x14ac:dyDescent="0.35">
      <c r="A498" s="44" t="str">
        <f t="shared" si="21"/>
        <v>July 2026</v>
      </c>
      <c r="B498" s="43">
        <v>46221</v>
      </c>
      <c r="C498" s="42" t="s">
        <v>86</v>
      </c>
      <c r="D498" s="42" t="s">
        <v>422</v>
      </c>
      <c r="E498" s="42" t="s">
        <v>56</v>
      </c>
      <c r="F498" s="42" t="s">
        <v>44</v>
      </c>
      <c r="G498" s="41">
        <v>35</v>
      </c>
      <c r="H498" s="41">
        <v>0</v>
      </c>
      <c r="I498" s="40">
        <f>IF(B498="","",IF(I497="",MASTER!$C$7,I497)+N(H498)-N(G498))</f>
        <v>630</v>
      </c>
      <c r="J498" s="39">
        <v>17000</v>
      </c>
      <c r="K498" s="22">
        <f t="shared" si="22"/>
        <v>595000</v>
      </c>
      <c r="L498" s="38">
        <f t="shared" si="23"/>
        <v>0</v>
      </c>
      <c r="M498" s="37"/>
    </row>
    <row r="499" spans="1:13" x14ac:dyDescent="0.35">
      <c r="A499" s="44" t="str">
        <f t="shared" si="21"/>
        <v>July 2026</v>
      </c>
      <c r="B499" s="43">
        <v>46221</v>
      </c>
      <c r="C499" s="42" t="s">
        <v>84</v>
      </c>
      <c r="D499" s="42" t="s">
        <v>104</v>
      </c>
      <c r="E499" s="42" t="s">
        <v>56</v>
      </c>
      <c r="F499" s="42" t="s">
        <v>44</v>
      </c>
      <c r="G499" s="41">
        <v>70</v>
      </c>
      <c r="H499" s="41">
        <v>0</v>
      </c>
      <c r="I499" s="40">
        <f>IF(B499="","",IF(I498="",MASTER!$C$7,I498)+N(H499)-N(G499))</f>
        <v>560</v>
      </c>
      <c r="J499" s="39">
        <v>17000</v>
      </c>
      <c r="K499" s="22">
        <f t="shared" si="22"/>
        <v>1190000</v>
      </c>
      <c r="L499" s="38">
        <f t="shared" si="23"/>
        <v>0</v>
      </c>
      <c r="M499" s="37" t="s">
        <v>420</v>
      </c>
    </row>
    <row r="500" spans="1:13" x14ac:dyDescent="0.35">
      <c r="A500" s="44" t="str">
        <f t="shared" si="21"/>
        <v>July 2026</v>
      </c>
      <c r="B500" s="43">
        <v>46221</v>
      </c>
      <c r="C500" s="42" t="s">
        <v>90</v>
      </c>
      <c r="D500" s="42" t="s">
        <v>103</v>
      </c>
      <c r="E500" s="42" t="s">
        <v>56</v>
      </c>
      <c r="F500" s="42" t="s">
        <v>44</v>
      </c>
      <c r="G500" s="41">
        <v>70</v>
      </c>
      <c r="H500" s="41">
        <v>0</v>
      </c>
      <c r="I500" s="40">
        <f>IF(B500="","",IF(I499="",MASTER!$C$7,I499)+N(H500)-N(G500))</f>
        <v>490</v>
      </c>
      <c r="J500" s="39">
        <v>17000</v>
      </c>
      <c r="K500" s="22">
        <f t="shared" si="22"/>
        <v>1190000</v>
      </c>
      <c r="L500" s="38">
        <f t="shared" si="23"/>
        <v>0</v>
      </c>
      <c r="M500" s="37"/>
    </row>
    <row r="501" spans="1:13" x14ac:dyDescent="0.35">
      <c r="A501" s="44" t="str">
        <f t="shared" si="21"/>
        <v>July 2026</v>
      </c>
      <c r="B501" s="43">
        <v>46221</v>
      </c>
      <c r="C501" s="42" t="s">
        <v>83</v>
      </c>
      <c r="D501" s="42" t="s">
        <v>98</v>
      </c>
      <c r="E501" s="42" t="s">
        <v>56</v>
      </c>
      <c r="F501" s="42" t="s">
        <v>44</v>
      </c>
      <c r="G501" s="41">
        <v>70</v>
      </c>
      <c r="H501" s="41">
        <v>0</v>
      </c>
      <c r="I501" s="40">
        <f>IF(B501="","",IF(I500="",MASTER!$C$7,I500)+N(H501)-N(G501))</f>
        <v>420</v>
      </c>
      <c r="J501" s="39">
        <v>17000</v>
      </c>
      <c r="K501" s="22">
        <f t="shared" si="22"/>
        <v>1190000</v>
      </c>
      <c r="L501" s="38">
        <f t="shared" si="23"/>
        <v>0</v>
      </c>
      <c r="M501" s="37" t="s">
        <v>420</v>
      </c>
    </row>
    <row r="502" spans="1:13" x14ac:dyDescent="0.35">
      <c r="A502" s="44" t="str">
        <f t="shared" si="21"/>
        <v>July 2026</v>
      </c>
      <c r="B502" s="43">
        <v>46221</v>
      </c>
      <c r="C502" s="42" t="s">
        <v>84</v>
      </c>
      <c r="D502" s="42" t="s">
        <v>104</v>
      </c>
      <c r="E502" s="42" t="s">
        <v>56</v>
      </c>
      <c r="F502" s="42" t="s">
        <v>44</v>
      </c>
      <c r="G502" s="41">
        <v>70</v>
      </c>
      <c r="H502" s="41">
        <v>0</v>
      </c>
      <c r="I502" s="40">
        <f>IF(B502="","",IF(I501="",MASTER!$C$7,I501)+N(H502)-N(G502))</f>
        <v>350</v>
      </c>
      <c r="J502" s="39">
        <v>17000</v>
      </c>
      <c r="K502" s="22">
        <f t="shared" si="22"/>
        <v>1190000</v>
      </c>
      <c r="L502" s="38">
        <f t="shared" si="23"/>
        <v>0</v>
      </c>
      <c r="M502" s="37" t="s">
        <v>420</v>
      </c>
    </row>
    <row r="503" spans="1:13" x14ac:dyDescent="0.35">
      <c r="A503" s="44" t="str">
        <f t="shared" si="21"/>
        <v>July 2026</v>
      </c>
      <c r="B503" s="43">
        <v>46221</v>
      </c>
      <c r="C503" s="42" t="s">
        <v>90</v>
      </c>
      <c r="D503" s="42" t="s">
        <v>103</v>
      </c>
      <c r="E503" s="42" t="s">
        <v>56</v>
      </c>
      <c r="F503" s="42" t="s">
        <v>44</v>
      </c>
      <c r="G503" s="41">
        <v>70</v>
      </c>
      <c r="H503" s="41">
        <v>0</v>
      </c>
      <c r="I503" s="40">
        <f>IF(B503="","",IF(I502="",MASTER!$C$7,I502)+N(H503)-N(G503))</f>
        <v>280</v>
      </c>
      <c r="J503" s="39">
        <v>17000</v>
      </c>
      <c r="K503" s="22">
        <f t="shared" si="22"/>
        <v>1190000</v>
      </c>
      <c r="L503" s="38">
        <f t="shared" si="23"/>
        <v>0</v>
      </c>
      <c r="M503" s="37"/>
    </row>
    <row r="504" spans="1:13" x14ac:dyDescent="0.35">
      <c r="A504" s="44" t="str">
        <f t="shared" si="21"/>
        <v>July 2026</v>
      </c>
      <c r="B504" s="43">
        <v>46221</v>
      </c>
      <c r="C504" s="42" t="s">
        <v>83</v>
      </c>
      <c r="D504" s="42" t="s">
        <v>98</v>
      </c>
      <c r="E504" s="42" t="s">
        <v>56</v>
      </c>
      <c r="F504" s="42" t="s">
        <v>44</v>
      </c>
      <c r="G504" s="41">
        <v>70</v>
      </c>
      <c r="H504" s="41">
        <v>0</v>
      </c>
      <c r="I504" s="40">
        <f>IF(B504="","",IF(I503="",MASTER!$C$7,I503)+N(H504)-N(G504))</f>
        <v>210</v>
      </c>
      <c r="J504" s="39">
        <v>17000</v>
      </c>
      <c r="K504" s="22">
        <f t="shared" si="22"/>
        <v>1190000</v>
      </c>
      <c r="L504" s="38">
        <f t="shared" si="23"/>
        <v>0</v>
      </c>
      <c r="M504" s="37" t="s">
        <v>420</v>
      </c>
    </row>
    <row r="505" spans="1:13" x14ac:dyDescent="0.35">
      <c r="A505" s="44" t="str">
        <f t="shared" si="21"/>
        <v>July 2026</v>
      </c>
      <c r="B505" s="43">
        <v>46221</v>
      </c>
      <c r="C505" s="42" t="s">
        <v>86</v>
      </c>
      <c r="D505" s="42" t="s">
        <v>422</v>
      </c>
      <c r="E505" s="42" t="s">
        <v>60</v>
      </c>
      <c r="F505" s="42" t="s">
        <v>44</v>
      </c>
      <c r="G505" s="41">
        <v>70</v>
      </c>
      <c r="H505" s="41">
        <v>0</v>
      </c>
      <c r="I505" s="40">
        <f>IF(B505="","",IF(I504="",MASTER!$C$7,I504)+N(H505)-N(G505))</f>
        <v>140</v>
      </c>
      <c r="J505" s="39">
        <v>17000</v>
      </c>
      <c r="K505" s="22">
        <f t="shared" si="22"/>
        <v>1190000</v>
      </c>
      <c r="L505" s="38">
        <f t="shared" si="23"/>
        <v>0</v>
      </c>
      <c r="M505" s="37"/>
    </row>
    <row r="506" spans="1:13" x14ac:dyDescent="0.35">
      <c r="A506" s="44" t="str">
        <f t="shared" si="21"/>
        <v>July 2026</v>
      </c>
      <c r="B506" s="43">
        <v>46222</v>
      </c>
      <c r="C506" s="42" t="s">
        <v>62</v>
      </c>
      <c r="D506" s="42" t="s">
        <v>94</v>
      </c>
      <c r="E506" s="42" t="s">
        <v>60</v>
      </c>
      <c r="F506" s="42" t="s">
        <v>44</v>
      </c>
      <c r="G506" s="41">
        <v>0</v>
      </c>
      <c r="H506" s="41">
        <v>175</v>
      </c>
      <c r="I506" s="40">
        <f>IF(B506="","",IF(I505="",MASTER!$C$7,I505)+N(H506)-N(G506))</f>
        <v>315</v>
      </c>
      <c r="J506" s="39">
        <v>15560</v>
      </c>
      <c r="K506" s="22">
        <f t="shared" si="22"/>
        <v>0</v>
      </c>
      <c r="L506" s="38">
        <f t="shared" si="23"/>
        <v>2723000</v>
      </c>
      <c r="M506" s="37"/>
    </row>
    <row r="507" spans="1:13" x14ac:dyDescent="0.35">
      <c r="A507" s="44" t="str">
        <f t="shared" si="21"/>
        <v>July 2026</v>
      </c>
      <c r="B507" s="43">
        <v>46222</v>
      </c>
      <c r="C507" s="42" t="s">
        <v>64</v>
      </c>
      <c r="D507" s="42" t="s">
        <v>413</v>
      </c>
      <c r="E507" s="42" t="s">
        <v>63</v>
      </c>
      <c r="F507" s="42" t="s">
        <v>44</v>
      </c>
      <c r="G507" s="41">
        <v>175</v>
      </c>
      <c r="H507" s="41">
        <v>4910</v>
      </c>
      <c r="I507" s="40">
        <f>IF(B507="","",IF(I506="",MASTER!$C$7,I506)+N(H507)-N(G507))</f>
        <v>5050</v>
      </c>
      <c r="J507" s="39">
        <v>15560</v>
      </c>
      <c r="K507" s="22">
        <f t="shared" si="22"/>
        <v>2723000</v>
      </c>
      <c r="L507" s="38">
        <v>84</v>
      </c>
      <c r="M507" s="37"/>
    </row>
    <row r="508" spans="1:13" x14ac:dyDescent="0.35">
      <c r="A508" s="44" t="str">
        <f t="shared" si="21"/>
        <v>July 2026</v>
      </c>
      <c r="B508" s="43">
        <v>46223</v>
      </c>
      <c r="C508" s="42" t="s">
        <v>93</v>
      </c>
      <c r="D508" s="42" t="s">
        <v>97</v>
      </c>
      <c r="E508" s="42" t="s">
        <v>56</v>
      </c>
      <c r="F508" s="42" t="s">
        <v>44</v>
      </c>
      <c r="G508" s="41">
        <v>30</v>
      </c>
      <c r="H508" s="41">
        <v>0</v>
      </c>
      <c r="I508" s="40">
        <f>IF(B508="","",IF(I507="",MASTER!$C$7,I507)+N(H508)-N(G508))</f>
        <v>5020</v>
      </c>
      <c r="J508" s="39">
        <v>15560</v>
      </c>
      <c r="K508" s="22">
        <f t="shared" si="22"/>
        <v>466800</v>
      </c>
      <c r="L508" s="38">
        <f t="shared" si="23"/>
        <v>0</v>
      </c>
      <c r="M508" s="37"/>
    </row>
    <row r="509" spans="1:13" x14ac:dyDescent="0.35">
      <c r="A509" s="44" t="str">
        <f t="shared" si="21"/>
        <v>July 2026</v>
      </c>
      <c r="B509" s="43">
        <v>46223</v>
      </c>
      <c r="C509" s="42" t="s">
        <v>84</v>
      </c>
      <c r="D509" s="42" t="s">
        <v>104</v>
      </c>
      <c r="E509" s="42" t="s">
        <v>56</v>
      </c>
      <c r="F509" s="42" t="s">
        <v>44</v>
      </c>
      <c r="G509" s="41">
        <v>175</v>
      </c>
      <c r="H509" s="41">
        <v>0</v>
      </c>
      <c r="I509" s="40">
        <f>IF(B509="","",IF(I508="",MASTER!$C$7,I508)+N(H509)-N(G509))</f>
        <v>4845</v>
      </c>
      <c r="J509" s="39">
        <v>15560</v>
      </c>
      <c r="K509" s="22">
        <f t="shared" si="22"/>
        <v>2723000</v>
      </c>
      <c r="L509" s="38">
        <f t="shared" si="23"/>
        <v>0</v>
      </c>
      <c r="M509" s="37" t="s">
        <v>420</v>
      </c>
    </row>
    <row r="510" spans="1:13" x14ac:dyDescent="0.35">
      <c r="A510" s="44" t="str">
        <f t="shared" si="21"/>
        <v>July 2026</v>
      </c>
      <c r="B510" s="43">
        <v>46223</v>
      </c>
      <c r="C510" s="42" t="s">
        <v>83</v>
      </c>
      <c r="D510" s="42" t="s">
        <v>98</v>
      </c>
      <c r="E510" s="42" t="s">
        <v>56</v>
      </c>
      <c r="F510" s="42" t="s">
        <v>44</v>
      </c>
      <c r="G510" s="41">
        <v>175</v>
      </c>
      <c r="H510" s="41">
        <v>0</v>
      </c>
      <c r="I510" s="40">
        <f>IF(B510="","",IF(I509="",MASTER!$C$7,I509)+N(H510)-N(G510))</f>
        <v>4670</v>
      </c>
      <c r="J510" s="39">
        <v>15560</v>
      </c>
      <c r="K510" s="22">
        <f t="shared" si="22"/>
        <v>2723000</v>
      </c>
      <c r="L510" s="38">
        <f t="shared" si="23"/>
        <v>0</v>
      </c>
      <c r="M510" s="37" t="s">
        <v>420</v>
      </c>
    </row>
    <row r="511" spans="1:13" x14ac:dyDescent="0.35">
      <c r="A511" s="44" t="str">
        <f t="shared" si="21"/>
        <v>July 2026</v>
      </c>
      <c r="B511" s="43">
        <v>46223</v>
      </c>
      <c r="C511" s="42" t="s">
        <v>86</v>
      </c>
      <c r="D511" s="42" t="s">
        <v>103</v>
      </c>
      <c r="E511" s="42" t="s">
        <v>56</v>
      </c>
      <c r="F511" s="42" t="s">
        <v>44</v>
      </c>
      <c r="G511" s="41">
        <v>175</v>
      </c>
      <c r="H511" s="41">
        <v>0</v>
      </c>
      <c r="I511" s="40">
        <f>IF(B511="","",IF(I510="",MASTER!$C$7,I510)+N(H511)-N(G511))</f>
        <v>4495</v>
      </c>
      <c r="J511" s="39">
        <v>15560</v>
      </c>
      <c r="K511" s="22">
        <f t="shared" si="22"/>
        <v>2723000</v>
      </c>
      <c r="L511" s="38">
        <f t="shared" si="23"/>
        <v>0</v>
      </c>
      <c r="M511" s="37"/>
    </row>
    <row r="512" spans="1:13" x14ac:dyDescent="0.35">
      <c r="A512" s="44" t="str">
        <f t="shared" si="21"/>
        <v>July 2026</v>
      </c>
      <c r="B512" s="43">
        <v>46223</v>
      </c>
      <c r="C512" s="42" t="s">
        <v>86</v>
      </c>
      <c r="D512" s="42" t="s">
        <v>422</v>
      </c>
      <c r="E512" s="42" t="s">
        <v>60</v>
      </c>
      <c r="F512" s="42" t="s">
        <v>44</v>
      </c>
      <c r="G512" s="41">
        <v>175</v>
      </c>
      <c r="H512" s="41">
        <v>0</v>
      </c>
      <c r="I512" s="40">
        <f>IF(B512="","",IF(I511="",MASTER!$C$7,I511)+N(H512)-N(G512))</f>
        <v>4320</v>
      </c>
      <c r="J512" s="39">
        <v>15560</v>
      </c>
      <c r="K512" s="22">
        <f t="shared" si="22"/>
        <v>2723000</v>
      </c>
      <c r="L512" s="38">
        <f t="shared" si="23"/>
        <v>0</v>
      </c>
      <c r="M512" s="37"/>
    </row>
    <row r="513" spans="1:13" x14ac:dyDescent="0.35">
      <c r="A513" s="44" t="str">
        <f t="shared" si="21"/>
        <v>July 2026</v>
      </c>
      <c r="B513" s="43">
        <v>46223</v>
      </c>
      <c r="C513" s="42" t="s">
        <v>68</v>
      </c>
      <c r="D513" s="42" t="s">
        <v>92</v>
      </c>
      <c r="E513" s="42" t="s">
        <v>101</v>
      </c>
      <c r="F513" s="42" t="s">
        <v>44</v>
      </c>
      <c r="G513" s="41">
        <v>65</v>
      </c>
      <c r="H513" s="41">
        <v>0</v>
      </c>
      <c r="I513" s="40">
        <f>IF(B513="","",IF(I512="",MASTER!$C$7,I512)+N(H513)-N(G513))</f>
        <v>4255</v>
      </c>
      <c r="J513" s="39">
        <v>15560</v>
      </c>
      <c r="K513" s="22">
        <f t="shared" si="22"/>
        <v>1011400</v>
      </c>
      <c r="L513" s="38">
        <f t="shared" si="23"/>
        <v>0</v>
      </c>
      <c r="M513" s="37" t="s">
        <v>420</v>
      </c>
    </row>
    <row r="514" spans="1:13" x14ac:dyDescent="0.35">
      <c r="A514" s="44" t="str">
        <f t="shared" ref="A514:A577" si="24">IF(B514="","",TEXT(B514,"MMMM YYYY"))</f>
        <v>July 2026</v>
      </c>
      <c r="B514" s="43">
        <v>46223</v>
      </c>
      <c r="C514" s="42" t="s">
        <v>51</v>
      </c>
      <c r="D514" s="42" t="s">
        <v>423</v>
      </c>
      <c r="E514" s="42" t="s">
        <v>60</v>
      </c>
      <c r="F514" s="42" t="s">
        <v>44</v>
      </c>
      <c r="G514" s="41">
        <v>105</v>
      </c>
      <c r="H514" s="41">
        <v>0</v>
      </c>
      <c r="I514" s="40">
        <f>IF(B514="","",IF(I513="",MASTER!$C$7,I513)+N(H514)-N(G514))</f>
        <v>4150</v>
      </c>
      <c r="J514" s="39">
        <v>15560</v>
      </c>
      <c r="K514" s="22">
        <f t="shared" ref="K514:K577" si="25">IF(OR(B514="",J514=""),"",N(G514)*J514)</f>
        <v>1633800</v>
      </c>
      <c r="L514" s="38">
        <f t="shared" ref="L514:L577" si="26">IF(OR(B514="",H514="",J514=""),"",N(H514)*J514)</f>
        <v>0</v>
      </c>
      <c r="M514" s="37"/>
    </row>
    <row r="515" spans="1:13" x14ac:dyDescent="0.35">
      <c r="A515" s="44" t="str">
        <f t="shared" si="24"/>
        <v>July 2026</v>
      </c>
      <c r="B515" s="43">
        <v>46223</v>
      </c>
      <c r="C515" s="42" t="s">
        <v>69</v>
      </c>
      <c r="D515" s="42" t="s">
        <v>415</v>
      </c>
      <c r="E515" s="42" t="s">
        <v>63</v>
      </c>
      <c r="F515" s="42" t="s">
        <v>44</v>
      </c>
      <c r="G515" s="41">
        <v>140</v>
      </c>
      <c r="H515" s="41">
        <v>0</v>
      </c>
      <c r="I515" s="40">
        <f>IF(B515="","",IF(I514="",MASTER!$C$7,I514)+N(H515)-N(G515))</f>
        <v>4010</v>
      </c>
      <c r="J515" s="39">
        <v>15560</v>
      </c>
      <c r="K515" s="22">
        <f t="shared" si="25"/>
        <v>2178400</v>
      </c>
      <c r="L515" s="38">
        <f t="shared" si="26"/>
        <v>0</v>
      </c>
      <c r="M515" s="37"/>
    </row>
    <row r="516" spans="1:13" x14ac:dyDescent="0.35">
      <c r="A516" s="44" t="str">
        <f t="shared" si="24"/>
        <v>July 2026</v>
      </c>
      <c r="B516" s="43">
        <v>46224</v>
      </c>
      <c r="C516" s="42" t="s">
        <v>51</v>
      </c>
      <c r="D516" s="42" t="s">
        <v>421</v>
      </c>
      <c r="E516" s="42" t="s">
        <v>56</v>
      </c>
      <c r="F516" s="42" t="s">
        <v>44</v>
      </c>
      <c r="G516" s="41">
        <v>105</v>
      </c>
      <c r="H516" s="41">
        <v>0</v>
      </c>
      <c r="I516" s="40">
        <f>IF(B516="","",IF(I515="",MASTER!$C$7,I515)+N(H516)-N(G516))</f>
        <v>3905</v>
      </c>
      <c r="J516" s="39">
        <v>15560</v>
      </c>
      <c r="K516" s="22">
        <f t="shared" si="25"/>
        <v>1633800</v>
      </c>
      <c r="L516" s="38">
        <f t="shared" si="26"/>
        <v>0</v>
      </c>
      <c r="M516" s="37"/>
    </row>
    <row r="517" spans="1:13" x14ac:dyDescent="0.35">
      <c r="A517" s="44" t="str">
        <f t="shared" si="24"/>
        <v>July 2026</v>
      </c>
      <c r="B517" s="43">
        <v>46224</v>
      </c>
      <c r="C517" s="42" t="s">
        <v>86</v>
      </c>
      <c r="D517" s="42" t="s">
        <v>422</v>
      </c>
      <c r="E517" s="42" t="s">
        <v>56</v>
      </c>
      <c r="F517" s="42" t="s">
        <v>44</v>
      </c>
      <c r="G517" s="41">
        <v>140</v>
      </c>
      <c r="H517" s="41">
        <v>0</v>
      </c>
      <c r="I517" s="40">
        <f>IF(B517="","",IF(I516="",MASTER!$C$7,I516)+N(H517)-N(G517))</f>
        <v>3765</v>
      </c>
      <c r="J517" s="39">
        <v>15560</v>
      </c>
      <c r="K517" s="22">
        <f t="shared" si="25"/>
        <v>2178400</v>
      </c>
      <c r="L517" s="38">
        <f t="shared" si="26"/>
        <v>0</v>
      </c>
      <c r="M517" s="37"/>
    </row>
    <row r="518" spans="1:13" x14ac:dyDescent="0.35">
      <c r="A518" s="44" t="str">
        <f t="shared" si="24"/>
        <v>July 2026</v>
      </c>
      <c r="B518" s="43">
        <v>46224</v>
      </c>
      <c r="C518" s="42" t="s">
        <v>84</v>
      </c>
      <c r="D518" s="42" t="s">
        <v>104</v>
      </c>
      <c r="E518" s="42" t="s">
        <v>56</v>
      </c>
      <c r="F518" s="42" t="s">
        <v>44</v>
      </c>
      <c r="G518" s="41">
        <v>140</v>
      </c>
      <c r="H518" s="41">
        <v>0</v>
      </c>
      <c r="I518" s="40">
        <f>IF(B518="","",IF(I517="",MASTER!$C$7,I517)+N(H518)-N(G518))</f>
        <v>3625</v>
      </c>
      <c r="J518" s="39">
        <v>15560</v>
      </c>
      <c r="K518" s="22">
        <f t="shared" si="25"/>
        <v>2178400</v>
      </c>
      <c r="L518" s="38">
        <f t="shared" si="26"/>
        <v>0</v>
      </c>
      <c r="M518" s="37" t="s">
        <v>420</v>
      </c>
    </row>
    <row r="519" spans="1:13" x14ac:dyDescent="0.35">
      <c r="A519" s="44" t="str">
        <f t="shared" si="24"/>
        <v>July 2026</v>
      </c>
      <c r="B519" s="43">
        <v>46224</v>
      </c>
      <c r="C519" s="42" t="s">
        <v>83</v>
      </c>
      <c r="D519" s="42" t="s">
        <v>98</v>
      </c>
      <c r="E519" s="42" t="s">
        <v>56</v>
      </c>
      <c r="F519" s="42" t="s">
        <v>44</v>
      </c>
      <c r="G519" s="41">
        <v>140</v>
      </c>
      <c r="H519" s="41">
        <v>0</v>
      </c>
      <c r="I519" s="40">
        <f>IF(B519="","",IF(I518="",MASTER!$C$7,I518)+N(H519)-N(G519))</f>
        <v>3485</v>
      </c>
      <c r="J519" s="39">
        <v>15560</v>
      </c>
      <c r="K519" s="22">
        <f t="shared" si="25"/>
        <v>2178400</v>
      </c>
      <c r="L519" s="38">
        <f t="shared" si="26"/>
        <v>0</v>
      </c>
      <c r="M519" s="37" t="s">
        <v>420</v>
      </c>
    </row>
    <row r="520" spans="1:13" x14ac:dyDescent="0.35">
      <c r="A520" s="44" t="str">
        <f t="shared" si="24"/>
        <v>July 2026</v>
      </c>
      <c r="B520" s="43">
        <v>46224</v>
      </c>
      <c r="C520" s="42" t="s">
        <v>90</v>
      </c>
      <c r="D520" s="42" t="s">
        <v>103</v>
      </c>
      <c r="E520" s="42" t="s">
        <v>87</v>
      </c>
      <c r="F520" s="42" t="s">
        <v>44</v>
      </c>
      <c r="G520" s="41">
        <v>130</v>
      </c>
      <c r="H520" s="41">
        <v>0</v>
      </c>
      <c r="I520" s="40">
        <f>IF(B520="","",IF(I519="",MASTER!$C$7,I519)+N(H520)-N(G520))</f>
        <v>3355</v>
      </c>
      <c r="J520" s="39">
        <v>15560</v>
      </c>
      <c r="K520" s="22">
        <f t="shared" si="25"/>
        <v>2022800</v>
      </c>
      <c r="L520" s="38">
        <f t="shared" si="26"/>
        <v>0</v>
      </c>
      <c r="M520" s="37"/>
    </row>
    <row r="521" spans="1:13" x14ac:dyDescent="0.35">
      <c r="A521" s="44" t="str">
        <f t="shared" si="24"/>
        <v>July 2026</v>
      </c>
      <c r="B521" s="43">
        <v>46224</v>
      </c>
      <c r="C521" s="42" t="s">
        <v>89</v>
      </c>
      <c r="D521" s="42" t="s">
        <v>88</v>
      </c>
      <c r="E521" s="42" t="s">
        <v>63</v>
      </c>
      <c r="F521" s="42" t="s">
        <v>44</v>
      </c>
      <c r="G521" s="41">
        <v>20</v>
      </c>
      <c r="H521" s="41">
        <v>0</v>
      </c>
      <c r="I521" s="40">
        <f>IF(B521="","",IF(I520="",MASTER!$C$7,I520)+N(H521)-N(G521))</f>
        <v>3335</v>
      </c>
      <c r="J521" s="39">
        <v>15560</v>
      </c>
      <c r="K521" s="22">
        <f t="shared" si="25"/>
        <v>311200</v>
      </c>
      <c r="L521" s="38">
        <f t="shared" si="26"/>
        <v>0</v>
      </c>
      <c r="M521" s="37" t="s">
        <v>87</v>
      </c>
    </row>
    <row r="522" spans="1:13" x14ac:dyDescent="0.35">
      <c r="A522" s="44" t="str">
        <f t="shared" si="24"/>
        <v>July 2026</v>
      </c>
      <c r="B522" s="43">
        <v>46225</v>
      </c>
      <c r="C522" s="42" t="s">
        <v>51</v>
      </c>
      <c r="D522" s="42" t="s">
        <v>421</v>
      </c>
      <c r="E522" s="42" t="s">
        <v>60</v>
      </c>
      <c r="F522" s="42" t="s">
        <v>44</v>
      </c>
      <c r="G522" s="41">
        <v>105</v>
      </c>
      <c r="H522" s="41">
        <v>0</v>
      </c>
      <c r="I522" s="40">
        <f>IF(B522="","",IF(I521="",MASTER!$C$7,I521)+N(H522)-N(G522))</f>
        <v>3230</v>
      </c>
      <c r="J522" s="39">
        <v>15560</v>
      </c>
      <c r="K522" s="22">
        <f t="shared" si="25"/>
        <v>1633800</v>
      </c>
      <c r="L522" s="38">
        <f t="shared" si="26"/>
        <v>0</v>
      </c>
      <c r="M522" s="37"/>
    </row>
    <row r="523" spans="1:13" x14ac:dyDescent="0.35">
      <c r="A523" s="44" t="str">
        <f t="shared" si="24"/>
        <v>July 2026</v>
      </c>
      <c r="B523" s="43">
        <v>46226</v>
      </c>
      <c r="C523" s="42" t="s">
        <v>64</v>
      </c>
      <c r="D523" s="42" t="s">
        <v>413</v>
      </c>
      <c r="E523" s="42" t="s">
        <v>60</v>
      </c>
      <c r="F523" s="42" t="s">
        <v>44</v>
      </c>
      <c r="G523" s="41">
        <v>150</v>
      </c>
      <c r="H523" s="41">
        <v>0</v>
      </c>
      <c r="I523" s="40">
        <f>IF(B523="","",IF(I522="",MASTER!$C$7,I522)+N(H523)-N(G523))</f>
        <v>3080</v>
      </c>
      <c r="J523" s="39">
        <v>15560</v>
      </c>
      <c r="K523" s="22">
        <f t="shared" si="25"/>
        <v>2334000</v>
      </c>
      <c r="L523" s="38">
        <f t="shared" si="26"/>
        <v>0</v>
      </c>
      <c r="M523" s="37"/>
    </row>
    <row r="524" spans="1:13" x14ac:dyDescent="0.35">
      <c r="A524" s="44" t="str">
        <f t="shared" si="24"/>
        <v>July 2026</v>
      </c>
      <c r="B524" s="43">
        <v>46226</v>
      </c>
      <c r="C524" s="42" t="s">
        <v>86</v>
      </c>
      <c r="D524" s="42" t="s">
        <v>422</v>
      </c>
      <c r="E524" s="42" t="s">
        <v>56</v>
      </c>
      <c r="F524" s="42" t="s">
        <v>44</v>
      </c>
      <c r="G524" s="41">
        <v>105</v>
      </c>
      <c r="H524" s="41">
        <v>0</v>
      </c>
      <c r="I524" s="40">
        <f>IF(B524="","",IF(I523="",MASTER!$C$7,I523)+N(H524)-N(G524))</f>
        <v>2975</v>
      </c>
      <c r="J524" s="39">
        <v>15560</v>
      </c>
      <c r="K524" s="22">
        <f t="shared" si="25"/>
        <v>1633800</v>
      </c>
      <c r="L524" s="38">
        <f t="shared" si="26"/>
        <v>0</v>
      </c>
      <c r="M524" s="37"/>
    </row>
    <row r="525" spans="1:13" x14ac:dyDescent="0.35">
      <c r="A525" s="44" t="str">
        <f t="shared" si="24"/>
        <v>July 2026</v>
      </c>
      <c r="B525" s="43">
        <v>46226</v>
      </c>
      <c r="C525" s="42" t="s">
        <v>85</v>
      </c>
      <c r="D525" s="42" t="s">
        <v>103</v>
      </c>
      <c r="E525" s="42" t="s">
        <v>60</v>
      </c>
      <c r="F525" s="42" t="s">
        <v>44</v>
      </c>
      <c r="G525" s="41">
        <v>105</v>
      </c>
      <c r="H525" s="41">
        <v>0</v>
      </c>
      <c r="I525" s="40">
        <f>IF(B525="","",IF(I524="",MASTER!$C$7,I524)+N(H525)-N(G525))</f>
        <v>2870</v>
      </c>
      <c r="J525" s="39">
        <v>15560</v>
      </c>
      <c r="K525" s="22">
        <f t="shared" si="25"/>
        <v>1633800</v>
      </c>
      <c r="L525" s="38">
        <f t="shared" si="26"/>
        <v>0</v>
      </c>
      <c r="M525" s="37"/>
    </row>
    <row r="526" spans="1:13" x14ac:dyDescent="0.35">
      <c r="A526" s="44" t="str">
        <f t="shared" si="24"/>
        <v>July 2026</v>
      </c>
      <c r="B526" s="43">
        <v>46226</v>
      </c>
      <c r="C526" s="42" t="s">
        <v>84</v>
      </c>
      <c r="D526" s="42" t="s">
        <v>104</v>
      </c>
      <c r="E526" s="42" t="s">
        <v>60</v>
      </c>
      <c r="F526" s="42" t="s">
        <v>44</v>
      </c>
      <c r="G526" s="41">
        <v>105</v>
      </c>
      <c r="H526" s="41">
        <v>0</v>
      </c>
      <c r="I526" s="40">
        <f>IF(B526="","",IF(I525="",MASTER!$C$7,I525)+N(H526)-N(G526))</f>
        <v>2765</v>
      </c>
      <c r="J526" s="39">
        <v>15560</v>
      </c>
      <c r="K526" s="22">
        <f t="shared" si="25"/>
        <v>1633800</v>
      </c>
      <c r="L526" s="38">
        <f t="shared" si="26"/>
        <v>0</v>
      </c>
      <c r="M526" s="37" t="s">
        <v>420</v>
      </c>
    </row>
    <row r="527" spans="1:13" x14ac:dyDescent="0.35">
      <c r="A527" s="44" t="str">
        <f t="shared" si="24"/>
        <v>July 2026</v>
      </c>
      <c r="B527" s="43">
        <v>46226</v>
      </c>
      <c r="C527" s="42" t="s">
        <v>83</v>
      </c>
      <c r="D527" s="42" t="s">
        <v>98</v>
      </c>
      <c r="E527" s="42" t="s">
        <v>63</v>
      </c>
      <c r="F527" s="42" t="s">
        <v>44</v>
      </c>
      <c r="G527" s="41">
        <v>105</v>
      </c>
      <c r="H527" s="41">
        <v>0</v>
      </c>
      <c r="I527" s="40">
        <f>IF(B527="","",IF(I526="",MASTER!$C$7,I526)+N(H527)-N(G527))</f>
        <v>2660</v>
      </c>
      <c r="J527" s="39">
        <v>15560</v>
      </c>
      <c r="K527" s="22">
        <f t="shared" si="25"/>
        <v>1633800</v>
      </c>
      <c r="L527" s="38">
        <f t="shared" si="26"/>
        <v>0</v>
      </c>
      <c r="M527" s="37" t="s">
        <v>420</v>
      </c>
    </row>
    <row r="528" spans="1:13" x14ac:dyDescent="0.35">
      <c r="A528" s="44" t="str">
        <f t="shared" si="24"/>
        <v>July 2026</v>
      </c>
      <c r="B528" s="43">
        <v>46226</v>
      </c>
      <c r="C528" s="42" t="s">
        <v>62</v>
      </c>
      <c r="D528" s="42" t="s">
        <v>97</v>
      </c>
      <c r="E528" s="42" t="s">
        <v>60</v>
      </c>
      <c r="F528" s="42" t="s">
        <v>44</v>
      </c>
      <c r="G528" s="41">
        <v>25</v>
      </c>
      <c r="H528" s="41">
        <v>0</v>
      </c>
      <c r="I528" s="40">
        <f>IF(B528="","",IF(I527="",MASTER!$C$7,I527)+N(H528)-N(G528))</f>
        <v>2635</v>
      </c>
      <c r="J528" s="39">
        <v>15560</v>
      </c>
      <c r="K528" s="22">
        <f t="shared" si="25"/>
        <v>389000</v>
      </c>
      <c r="L528" s="38">
        <f t="shared" si="26"/>
        <v>0</v>
      </c>
      <c r="M528" s="37"/>
    </row>
    <row r="529" spans="1:13" x14ac:dyDescent="0.35">
      <c r="A529" s="44" t="str">
        <f t="shared" si="24"/>
        <v>July 2026</v>
      </c>
      <c r="B529" s="43">
        <v>46227</v>
      </c>
      <c r="C529" s="42" t="s">
        <v>50</v>
      </c>
      <c r="D529" s="42" t="s">
        <v>414</v>
      </c>
      <c r="E529" s="42" t="s">
        <v>65</v>
      </c>
      <c r="F529" s="42" t="s">
        <v>44</v>
      </c>
      <c r="G529" s="41">
        <v>150</v>
      </c>
      <c r="H529" s="41">
        <v>0</v>
      </c>
      <c r="I529" s="40">
        <f>IF(B529="","",IF(I528="",MASTER!$C$7,I528)+N(H529)-N(G529))</f>
        <v>2485</v>
      </c>
      <c r="J529" s="39">
        <v>15560</v>
      </c>
      <c r="K529" s="22">
        <f t="shared" si="25"/>
        <v>2334000</v>
      </c>
      <c r="L529" s="38">
        <f t="shared" si="26"/>
        <v>0</v>
      </c>
      <c r="M529" s="37"/>
    </row>
    <row r="530" spans="1:13" x14ac:dyDescent="0.35">
      <c r="A530" s="44" t="str">
        <f t="shared" si="24"/>
        <v>July 2026</v>
      </c>
      <c r="B530" s="43">
        <v>46227</v>
      </c>
      <c r="C530" s="42" t="s">
        <v>68</v>
      </c>
      <c r="D530" s="42" t="s">
        <v>417</v>
      </c>
      <c r="E530" s="42" t="s">
        <v>60</v>
      </c>
      <c r="F530" s="42" t="s">
        <v>44</v>
      </c>
      <c r="G530" s="41">
        <v>350</v>
      </c>
      <c r="H530" s="41">
        <v>0</v>
      </c>
      <c r="I530" s="40">
        <f>IF(B530="","",IF(I529="",MASTER!$C$7,I529)+N(H530)-N(G530))</f>
        <v>2135</v>
      </c>
      <c r="J530" s="39">
        <v>15560</v>
      </c>
      <c r="K530" s="22">
        <f t="shared" si="25"/>
        <v>5446000</v>
      </c>
      <c r="L530" s="38">
        <f t="shared" si="26"/>
        <v>0</v>
      </c>
      <c r="M530" s="37" t="s">
        <v>420</v>
      </c>
    </row>
    <row r="531" spans="1:13" x14ac:dyDescent="0.35">
      <c r="A531" s="44" t="str">
        <f t="shared" si="24"/>
        <v>July 2026</v>
      </c>
      <c r="B531" s="43">
        <v>46227</v>
      </c>
      <c r="C531" s="42" t="s">
        <v>82</v>
      </c>
      <c r="D531" s="42" t="s">
        <v>81</v>
      </c>
      <c r="E531" s="42" t="s">
        <v>65</v>
      </c>
      <c r="F531" s="42" t="s">
        <v>44</v>
      </c>
      <c r="G531" s="41">
        <v>530</v>
      </c>
      <c r="H531" s="41">
        <v>0</v>
      </c>
      <c r="I531" s="40">
        <f>IF(B531="","",IF(I530="",MASTER!$C$7,I530)+N(H531)-N(G531))</f>
        <v>1605</v>
      </c>
      <c r="J531" s="39">
        <v>15560</v>
      </c>
      <c r="K531" s="22">
        <f t="shared" si="25"/>
        <v>8246800</v>
      </c>
      <c r="L531" s="38">
        <f t="shared" si="26"/>
        <v>0</v>
      </c>
      <c r="M531" s="37"/>
    </row>
    <row r="532" spans="1:13" x14ac:dyDescent="0.35">
      <c r="A532" s="44" t="str">
        <f t="shared" si="24"/>
        <v>July 2026</v>
      </c>
      <c r="B532" s="43">
        <v>46227</v>
      </c>
      <c r="C532" s="42" t="s">
        <v>80</v>
      </c>
      <c r="D532" s="42" t="s">
        <v>416</v>
      </c>
      <c r="E532" s="42" t="s">
        <v>60</v>
      </c>
      <c r="F532" s="42" t="s">
        <v>44</v>
      </c>
      <c r="G532" s="41">
        <v>420</v>
      </c>
      <c r="H532" s="41">
        <v>0</v>
      </c>
      <c r="I532" s="40">
        <f>IF(B532="","",IF(I531="",MASTER!$C$7,I531)+N(H532)-N(G532))</f>
        <v>1185</v>
      </c>
      <c r="J532" s="39">
        <v>15560</v>
      </c>
      <c r="K532" s="22">
        <f t="shared" si="25"/>
        <v>6535200</v>
      </c>
      <c r="L532" s="38">
        <f t="shared" si="26"/>
        <v>0</v>
      </c>
      <c r="M532" s="37" t="s">
        <v>420</v>
      </c>
    </row>
    <row r="533" spans="1:13" x14ac:dyDescent="0.35">
      <c r="A533" s="44" t="str">
        <f t="shared" si="24"/>
        <v>July 2026</v>
      </c>
      <c r="B533" s="43">
        <v>46228</v>
      </c>
      <c r="C533" s="42" t="s">
        <v>61</v>
      </c>
      <c r="D533" s="42" t="s">
        <v>78</v>
      </c>
      <c r="E533" s="42" t="s">
        <v>63</v>
      </c>
      <c r="F533" s="42" t="s">
        <v>44</v>
      </c>
      <c r="G533" s="41">
        <v>0</v>
      </c>
      <c r="H533" s="41">
        <v>4900</v>
      </c>
      <c r="I533" s="40">
        <f>IF(B533="","",IF(I532="",MASTER!$C$7,I532)+N(H533)-N(G533))</f>
        <v>6085</v>
      </c>
      <c r="J533" s="39">
        <v>17200</v>
      </c>
      <c r="K533" s="22">
        <f t="shared" si="25"/>
        <v>0</v>
      </c>
      <c r="L533" s="38">
        <f t="shared" si="26"/>
        <v>84280000</v>
      </c>
      <c r="M533" s="37"/>
    </row>
    <row r="534" spans="1:13" x14ac:dyDescent="0.35">
      <c r="A534" s="44" t="str">
        <f t="shared" si="24"/>
        <v>July 2026</v>
      </c>
      <c r="B534" s="43">
        <v>46228</v>
      </c>
      <c r="C534" s="42" t="s">
        <v>62</v>
      </c>
      <c r="D534" s="42" t="s">
        <v>97</v>
      </c>
      <c r="E534" s="42" t="s">
        <v>53</v>
      </c>
      <c r="F534" s="42" t="s">
        <v>44</v>
      </c>
      <c r="G534" s="41">
        <v>30</v>
      </c>
      <c r="H534" s="41">
        <v>0</v>
      </c>
      <c r="I534" s="40">
        <f>IF(B534="","",IF(I533="",MASTER!$C$7,I533)+N(H534)-N(G534))</f>
        <v>6055</v>
      </c>
      <c r="J534" s="39">
        <v>17200</v>
      </c>
      <c r="K534" s="22">
        <f t="shared" si="25"/>
        <v>516000</v>
      </c>
      <c r="L534" s="38">
        <f t="shared" si="26"/>
        <v>0</v>
      </c>
      <c r="M534" s="37"/>
    </row>
    <row r="535" spans="1:13" x14ac:dyDescent="0.35">
      <c r="A535" s="44" t="str">
        <f t="shared" si="24"/>
        <v>July 2026</v>
      </c>
      <c r="B535" s="43">
        <v>46229</v>
      </c>
      <c r="C535" s="42" t="s">
        <v>64</v>
      </c>
      <c r="D535" s="42" t="s">
        <v>413</v>
      </c>
      <c r="E535" s="42" t="s">
        <v>65</v>
      </c>
      <c r="F535" s="42" t="s">
        <v>44</v>
      </c>
      <c r="G535" s="41">
        <v>175</v>
      </c>
      <c r="H535" s="41">
        <v>0</v>
      </c>
      <c r="I535" s="40">
        <f>IF(B535="","",IF(I534="",MASTER!$C$7,I534)+N(H535)-N(G535))</f>
        <v>5880</v>
      </c>
      <c r="J535" s="39">
        <v>17200</v>
      </c>
      <c r="K535" s="22">
        <f t="shared" si="25"/>
        <v>3010000</v>
      </c>
      <c r="L535" s="38">
        <f t="shared" si="26"/>
        <v>0</v>
      </c>
      <c r="M535" s="37"/>
    </row>
    <row r="536" spans="1:13" x14ac:dyDescent="0.35">
      <c r="A536" s="44" t="str">
        <f t="shared" si="24"/>
        <v>July 2026</v>
      </c>
      <c r="B536" s="43">
        <v>46229</v>
      </c>
      <c r="C536" s="42" t="s">
        <v>62</v>
      </c>
      <c r="D536" s="42" t="s">
        <v>79</v>
      </c>
      <c r="E536" s="42" t="s">
        <v>60</v>
      </c>
      <c r="F536" s="42" t="s">
        <v>44</v>
      </c>
      <c r="G536" s="41">
        <v>0</v>
      </c>
      <c r="H536" s="41">
        <v>770</v>
      </c>
      <c r="I536" s="40">
        <f>IF(B536="","",IF(I535="",MASTER!$C$7,I535)+N(H536)-N(G536))</f>
        <v>6650</v>
      </c>
      <c r="J536" s="39">
        <v>17200</v>
      </c>
      <c r="K536" s="22">
        <f t="shared" si="25"/>
        <v>0</v>
      </c>
      <c r="L536" s="38">
        <f t="shared" si="26"/>
        <v>13244000</v>
      </c>
      <c r="M536" s="37"/>
    </row>
    <row r="537" spans="1:13" x14ac:dyDescent="0.35">
      <c r="A537" s="44" t="str">
        <f t="shared" si="24"/>
        <v>July 2026</v>
      </c>
      <c r="B537" s="43">
        <v>46232</v>
      </c>
      <c r="C537" s="42" t="s">
        <v>61</v>
      </c>
      <c r="D537" s="42" t="s">
        <v>78</v>
      </c>
      <c r="E537" s="42" t="s">
        <v>65</v>
      </c>
      <c r="F537" s="42" t="s">
        <v>44</v>
      </c>
      <c r="G537" s="41">
        <v>0</v>
      </c>
      <c r="H537" s="41">
        <v>4900</v>
      </c>
      <c r="I537" s="40">
        <f>IF(B537="","",IF(I536="",MASTER!$C$7,I536)+N(H537)-N(G537))</f>
        <v>11550</v>
      </c>
      <c r="J537" s="39">
        <v>17200</v>
      </c>
      <c r="K537" s="22">
        <f t="shared" si="25"/>
        <v>0</v>
      </c>
      <c r="L537" s="38">
        <f t="shared" si="26"/>
        <v>84280000</v>
      </c>
      <c r="M537" s="37"/>
    </row>
    <row r="538" spans="1:13" x14ac:dyDescent="0.35">
      <c r="A538" s="44" t="str">
        <f t="shared" si="24"/>
        <v>July 2026</v>
      </c>
      <c r="B538" s="43">
        <v>46232</v>
      </c>
      <c r="C538" s="42" t="s">
        <v>68</v>
      </c>
      <c r="D538" s="42" t="s">
        <v>416</v>
      </c>
      <c r="E538" s="42" t="s">
        <v>65</v>
      </c>
      <c r="F538" s="42" t="s">
        <v>44</v>
      </c>
      <c r="G538" s="41">
        <v>350</v>
      </c>
      <c r="H538" s="41">
        <v>0</v>
      </c>
      <c r="I538" s="40">
        <f>IF(B538="","",IF(I537="",MASTER!$C$7,I537)+N(H538)-N(G538))</f>
        <v>11200</v>
      </c>
      <c r="J538" s="39">
        <v>17200</v>
      </c>
      <c r="K538" s="22">
        <f t="shared" si="25"/>
        <v>6020000</v>
      </c>
      <c r="L538" s="38">
        <f t="shared" si="26"/>
        <v>0</v>
      </c>
      <c r="M538" s="37" t="s">
        <v>420</v>
      </c>
    </row>
    <row r="539" spans="1:13" x14ac:dyDescent="0.35">
      <c r="A539" s="44" t="str">
        <f t="shared" si="24"/>
        <v>July 2026</v>
      </c>
      <c r="B539" s="43">
        <v>46232</v>
      </c>
      <c r="C539" s="42" t="s">
        <v>70</v>
      </c>
      <c r="D539" s="42" t="s">
        <v>416</v>
      </c>
      <c r="E539" s="42" t="s">
        <v>53</v>
      </c>
      <c r="F539" s="42" t="s">
        <v>44</v>
      </c>
      <c r="G539" s="41">
        <v>420</v>
      </c>
      <c r="H539" s="41">
        <v>0</v>
      </c>
      <c r="I539" s="40">
        <f>IF(B539="","",IF(I538="",MASTER!$C$7,I538)+N(H539)-N(G539))</f>
        <v>10780</v>
      </c>
      <c r="J539" s="39">
        <v>17200</v>
      </c>
      <c r="K539" s="22">
        <f t="shared" si="25"/>
        <v>7224000</v>
      </c>
      <c r="L539" s="38">
        <f t="shared" si="26"/>
        <v>0</v>
      </c>
      <c r="M539" s="37" t="s">
        <v>420</v>
      </c>
    </row>
    <row r="540" spans="1:13" x14ac:dyDescent="0.35">
      <c r="A540" s="44" t="str">
        <f t="shared" si="24"/>
        <v>July 2026</v>
      </c>
      <c r="B540" s="43">
        <v>46232</v>
      </c>
      <c r="C540" s="42" t="s">
        <v>111</v>
      </c>
      <c r="D540" s="42" t="s">
        <v>412</v>
      </c>
      <c r="E540" s="42" t="s">
        <v>65</v>
      </c>
      <c r="F540" s="42" t="s">
        <v>44</v>
      </c>
      <c r="G540" s="41">
        <v>100</v>
      </c>
      <c r="H540" s="41">
        <v>0</v>
      </c>
      <c r="I540" s="40">
        <f>IF(B540="","",IF(I539="",MASTER!$C$7,I539)+N(H540)-N(G540))</f>
        <v>10680</v>
      </c>
      <c r="J540" s="39">
        <v>17200</v>
      </c>
      <c r="K540" s="22">
        <f t="shared" si="25"/>
        <v>1720000</v>
      </c>
      <c r="L540" s="38">
        <f t="shared" si="26"/>
        <v>0</v>
      </c>
      <c r="M540" s="37"/>
    </row>
    <row r="541" spans="1:13" x14ac:dyDescent="0.35">
      <c r="A541" s="44" t="str">
        <f t="shared" si="24"/>
        <v>July 2026</v>
      </c>
      <c r="B541" s="43">
        <v>46232</v>
      </c>
      <c r="C541" s="42" t="s">
        <v>77</v>
      </c>
      <c r="D541" s="42" t="s">
        <v>416</v>
      </c>
      <c r="E541" s="42" t="s">
        <v>65</v>
      </c>
      <c r="F541" s="42" t="s">
        <v>44</v>
      </c>
      <c r="G541" s="41">
        <v>280</v>
      </c>
      <c r="H541" s="41">
        <v>0</v>
      </c>
      <c r="I541" s="40">
        <f>IF(B541="","",IF(I540="",MASTER!$C$7,I540)+N(H541)-N(G541))</f>
        <v>10400</v>
      </c>
      <c r="J541" s="39">
        <v>17200</v>
      </c>
      <c r="K541" s="22">
        <f t="shared" si="25"/>
        <v>4816000</v>
      </c>
      <c r="L541" s="38">
        <f t="shared" si="26"/>
        <v>0</v>
      </c>
      <c r="M541" s="37" t="s">
        <v>420</v>
      </c>
    </row>
    <row r="542" spans="1:13" x14ac:dyDescent="0.35">
      <c r="A542" s="44" t="str">
        <f t="shared" si="24"/>
        <v>July 2026</v>
      </c>
      <c r="B542" s="43">
        <v>46232</v>
      </c>
      <c r="C542" s="42" t="s">
        <v>58</v>
      </c>
      <c r="D542" s="42" t="s">
        <v>416</v>
      </c>
      <c r="E542" s="42" t="s">
        <v>63</v>
      </c>
      <c r="F542" s="42" t="s">
        <v>44</v>
      </c>
      <c r="G542" s="41">
        <v>105</v>
      </c>
      <c r="H542" s="41">
        <v>0</v>
      </c>
      <c r="I542" s="40">
        <f>IF(B542="","",IF(I541="",MASTER!$C$7,I541)+N(H542)-N(G542))</f>
        <v>10295</v>
      </c>
      <c r="J542" s="39">
        <v>17200</v>
      </c>
      <c r="K542" s="22">
        <f t="shared" si="25"/>
        <v>1806000</v>
      </c>
      <c r="L542" s="38">
        <f t="shared" si="26"/>
        <v>0</v>
      </c>
      <c r="M542" s="37" t="s">
        <v>420</v>
      </c>
    </row>
    <row r="543" spans="1:13" x14ac:dyDescent="0.35">
      <c r="A543" s="44" t="str">
        <f t="shared" si="24"/>
        <v>July 2026</v>
      </c>
      <c r="B543" s="43">
        <v>46233</v>
      </c>
      <c r="C543" s="42" t="s">
        <v>62</v>
      </c>
      <c r="D543" s="42" t="s">
        <v>97</v>
      </c>
      <c r="E543" s="42" t="s">
        <v>65</v>
      </c>
      <c r="F543" s="42" t="s">
        <v>44</v>
      </c>
      <c r="G543" s="41">
        <v>15</v>
      </c>
      <c r="H543" s="41">
        <v>0</v>
      </c>
      <c r="I543" s="40">
        <f>IF(B543="","",IF(I542="",MASTER!$C$7,I542)+N(H543)-N(G543))</f>
        <v>10280</v>
      </c>
      <c r="J543" s="39">
        <v>17200</v>
      </c>
      <c r="K543" s="22">
        <f t="shared" si="25"/>
        <v>258000</v>
      </c>
      <c r="L543" s="38">
        <f t="shared" si="26"/>
        <v>0</v>
      </c>
      <c r="M543" s="37"/>
    </row>
    <row r="544" spans="1:13" x14ac:dyDescent="0.35">
      <c r="A544" s="44" t="str">
        <f t="shared" si="24"/>
        <v>July 2026</v>
      </c>
      <c r="B544" s="43">
        <v>46234</v>
      </c>
      <c r="C544" s="42" t="s">
        <v>62</v>
      </c>
      <c r="D544" s="42" t="s">
        <v>419</v>
      </c>
      <c r="E544" s="42" t="s">
        <v>75</v>
      </c>
      <c r="F544" s="42" t="s">
        <v>44</v>
      </c>
      <c r="G544" s="41">
        <v>0</v>
      </c>
      <c r="H544" s="41">
        <v>1050</v>
      </c>
      <c r="I544" s="40">
        <f>IF(B544="","",IF(I543="",MASTER!$C$7,I543)+N(H544)-N(G544))</f>
        <v>11330</v>
      </c>
      <c r="J544" s="39">
        <v>17200</v>
      </c>
      <c r="K544" s="22">
        <f t="shared" si="25"/>
        <v>0</v>
      </c>
      <c r="L544" s="38">
        <f t="shared" si="26"/>
        <v>18060000</v>
      </c>
      <c r="M544" s="37"/>
    </row>
    <row r="545" spans="1:13" x14ac:dyDescent="0.35">
      <c r="A545" s="44" t="str">
        <f t="shared" si="24"/>
        <v>August 2026</v>
      </c>
      <c r="B545" s="43">
        <v>46235</v>
      </c>
      <c r="C545" s="42" t="s">
        <v>76</v>
      </c>
      <c r="D545" s="42" t="s">
        <v>88</v>
      </c>
      <c r="E545" s="42" t="s">
        <v>56</v>
      </c>
      <c r="F545" s="42" t="s">
        <v>44</v>
      </c>
      <c r="G545" s="41">
        <v>20</v>
      </c>
      <c r="H545" s="41">
        <v>0</v>
      </c>
      <c r="I545" s="40">
        <f>IF(B545="","",IF(I544="",MASTER!$C$7,I544)+N(H545)-N(G545))</f>
        <v>11310</v>
      </c>
      <c r="J545" s="39">
        <v>17200</v>
      </c>
      <c r="K545" s="22">
        <f t="shared" si="25"/>
        <v>344000</v>
      </c>
      <c r="L545" s="38">
        <f t="shared" si="26"/>
        <v>0</v>
      </c>
      <c r="M545" s="37" t="s">
        <v>87</v>
      </c>
    </row>
    <row r="546" spans="1:13" x14ac:dyDescent="0.35">
      <c r="A546" s="44" t="str">
        <f t="shared" si="24"/>
        <v>August 2026</v>
      </c>
      <c r="B546" s="43">
        <v>46235</v>
      </c>
      <c r="C546" s="42" t="s">
        <v>68</v>
      </c>
      <c r="D546" s="42" t="s">
        <v>92</v>
      </c>
      <c r="E546" s="42" t="s">
        <v>74</v>
      </c>
      <c r="F546" s="42" t="s">
        <v>44</v>
      </c>
      <c r="G546" s="41">
        <v>70</v>
      </c>
      <c r="H546" s="41">
        <v>0</v>
      </c>
      <c r="I546" s="40">
        <f>IF(B546="","",IF(I545="",MASTER!$C$7,I545)+N(H546)-N(G546))</f>
        <v>11240</v>
      </c>
      <c r="J546" s="39">
        <v>17200</v>
      </c>
      <c r="K546" s="22">
        <f t="shared" si="25"/>
        <v>1204000</v>
      </c>
      <c r="L546" s="38">
        <f t="shared" si="26"/>
        <v>0</v>
      </c>
      <c r="M546" s="37" t="s">
        <v>420</v>
      </c>
    </row>
    <row r="547" spans="1:13" x14ac:dyDescent="0.35">
      <c r="A547" s="44" t="str">
        <f t="shared" si="24"/>
        <v>August 2026</v>
      </c>
      <c r="B547" s="43">
        <v>46235</v>
      </c>
      <c r="C547" s="42" t="s">
        <v>73</v>
      </c>
      <c r="D547" s="42" t="s">
        <v>92</v>
      </c>
      <c r="E547" s="42" t="s">
        <v>101</v>
      </c>
      <c r="F547" s="42" t="s">
        <v>44</v>
      </c>
      <c r="G547" s="41">
        <v>35</v>
      </c>
      <c r="H547" s="41">
        <v>0</v>
      </c>
      <c r="I547" s="40">
        <f>IF(B547="","",IF(I546="",MASTER!$C$7,I546)+N(H547)-N(G547))</f>
        <v>11205</v>
      </c>
      <c r="J547" s="39">
        <v>17200</v>
      </c>
      <c r="K547" s="22">
        <f t="shared" si="25"/>
        <v>602000</v>
      </c>
      <c r="L547" s="38">
        <f t="shared" si="26"/>
        <v>0</v>
      </c>
      <c r="M547" s="37" t="s">
        <v>420</v>
      </c>
    </row>
    <row r="548" spans="1:13" x14ac:dyDescent="0.35">
      <c r="A548" s="44" t="str">
        <f t="shared" si="24"/>
        <v>August 2026</v>
      </c>
      <c r="B548" s="43">
        <v>46235</v>
      </c>
      <c r="C548" s="42" t="s">
        <v>69</v>
      </c>
      <c r="D548" s="42" t="s">
        <v>415</v>
      </c>
      <c r="E548" s="42" t="s">
        <v>53</v>
      </c>
      <c r="F548" s="42" t="s">
        <v>44</v>
      </c>
      <c r="G548" s="41">
        <v>50</v>
      </c>
      <c r="H548" s="41">
        <v>0</v>
      </c>
      <c r="I548" s="40">
        <f>IF(B548="","",IF(I547="",MASTER!$C$7,I547)+N(H548)-N(G548))</f>
        <v>11155</v>
      </c>
      <c r="J548" s="39">
        <v>17200</v>
      </c>
      <c r="K548" s="22">
        <f t="shared" si="25"/>
        <v>860000</v>
      </c>
      <c r="L548" s="38">
        <f t="shared" si="26"/>
        <v>0</v>
      </c>
      <c r="M548" s="37"/>
    </row>
    <row r="549" spans="1:13" x14ac:dyDescent="0.35">
      <c r="A549" s="44" t="str">
        <f t="shared" si="24"/>
        <v>August 2026</v>
      </c>
      <c r="B549" s="43">
        <v>46236</v>
      </c>
      <c r="C549" s="42" t="s">
        <v>64</v>
      </c>
      <c r="D549" s="42" t="s">
        <v>413</v>
      </c>
      <c r="E549" s="42" t="s">
        <v>53</v>
      </c>
      <c r="F549" s="42" t="s">
        <v>44</v>
      </c>
      <c r="G549" s="41">
        <v>150</v>
      </c>
      <c r="H549" s="41">
        <v>0</v>
      </c>
      <c r="I549" s="40">
        <f>IF(B549="","",IF(I548="",MASTER!$C$7,I548)+N(H549)-N(G549))</f>
        <v>11005</v>
      </c>
      <c r="J549" s="39">
        <v>17200</v>
      </c>
      <c r="K549" s="22">
        <f t="shared" si="25"/>
        <v>2580000</v>
      </c>
      <c r="L549" s="38">
        <f t="shared" si="26"/>
        <v>0</v>
      </c>
      <c r="M549" s="37"/>
    </row>
    <row r="550" spans="1:13" x14ac:dyDescent="0.35">
      <c r="A550" s="44" t="str">
        <f t="shared" si="24"/>
        <v>August 2026</v>
      </c>
      <c r="B550" s="43">
        <v>46236</v>
      </c>
      <c r="C550" s="42" t="s">
        <v>69</v>
      </c>
      <c r="D550" s="42" t="s">
        <v>415</v>
      </c>
      <c r="E550" s="42" t="s">
        <v>53</v>
      </c>
      <c r="F550" s="42" t="s">
        <v>44</v>
      </c>
      <c r="G550" s="41">
        <v>70</v>
      </c>
      <c r="H550" s="41">
        <v>0</v>
      </c>
      <c r="I550" s="40">
        <f>IF(B550="","",IF(I549="",MASTER!$C$7,I549)+N(H550)-N(G550))</f>
        <v>10935</v>
      </c>
      <c r="J550" s="39">
        <v>17200</v>
      </c>
      <c r="K550" s="22">
        <f t="shared" si="25"/>
        <v>1204000</v>
      </c>
      <c r="L550" s="38">
        <f t="shared" si="26"/>
        <v>0</v>
      </c>
      <c r="M550" s="37"/>
    </row>
    <row r="551" spans="1:13" x14ac:dyDescent="0.35">
      <c r="A551" s="44" t="str">
        <f t="shared" si="24"/>
        <v>August 2026</v>
      </c>
      <c r="B551" s="43">
        <v>46236</v>
      </c>
      <c r="C551" s="42" t="s">
        <v>73</v>
      </c>
      <c r="D551" s="42" t="s">
        <v>92</v>
      </c>
      <c r="E551" s="42" t="s">
        <v>71</v>
      </c>
      <c r="F551" s="42" t="s">
        <v>44</v>
      </c>
      <c r="G551" s="41">
        <v>10</v>
      </c>
      <c r="H551" s="41">
        <v>0</v>
      </c>
      <c r="I551" s="40">
        <f>IF(B551="","",IF(I550="",MASTER!$C$7,I550)+N(H551)-N(G551))</f>
        <v>10925</v>
      </c>
      <c r="J551" s="39">
        <v>17200</v>
      </c>
      <c r="K551" s="22">
        <f t="shared" si="25"/>
        <v>172000</v>
      </c>
      <c r="L551" s="38">
        <f t="shared" si="26"/>
        <v>0</v>
      </c>
      <c r="M551" s="37" t="s">
        <v>420</v>
      </c>
    </row>
    <row r="552" spans="1:13" x14ac:dyDescent="0.35">
      <c r="A552" s="44" t="str">
        <f t="shared" si="24"/>
        <v>August 2026</v>
      </c>
      <c r="B552" s="43">
        <v>46236</v>
      </c>
      <c r="C552" s="42" t="s">
        <v>62</v>
      </c>
      <c r="D552" s="42" t="s">
        <v>97</v>
      </c>
      <c r="E552" s="42" t="s">
        <v>63</v>
      </c>
      <c r="F552" s="42" t="s">
        <v>44</v>
      </c>
      <c r="G552" s="41">
        <v>20</v>
      </c>
      <c r="H552" s="41">
        <v>0</v>
      </c>
      <c r="I552" s="40">
        <f>IF(B552="","",IF(I551="",MASTER!$C$7,I551)+N(H552)-N(G552))</f>
        <v>10905</v>
      </c>
      <c r="J552" s="39">
        <v>17200</v>
      </c>
      <c r="K552" s="22">
        <f t="shared" si="25"/>
        <v>344000</v>
      </c>
      <c r="L552" s="38">
        <f t="shared" si="26"/>
        <v>0</v>
      </c>
      <c r="M552" s="37"/>
    </row>
    <row r="553" spans="1:13" x14ac:dyDescent="0.35">
      <c r="A553" s="44" t="str">
        <f t="shared" si="24"/>
        <v>August 2026</v>
      </c>
      <c r="B553" s="43">
        <v>46237</v>
      </c>
      <c r="C553" s="42" t="s">
        <v>69</v>
      </c>
      <c r="D553" s="42" t="s">
        <v>415</v>
      </c>
      <c r="E553" s="42" t="s">
        <v>63</v>
      </c>
      <c r="F553" s="42" t="s">
        <v>44</v>
      </c>
      <c r="G553" s="41">
        <v>70</v>
      </c>
      <c r="H553" s="41">
        <v>0</v>
      </c>
      <c r="I553" s="40">
        <f>IF(B553="","",IF(I552="",MASTER!$C$7,I552)+N(H553)-N(G553))</f>
        <v>10835</v>
      </c>
      <c r="J553" s="39">
        <v>17200</v>
      </c>
      <c r="K553" s="22">
        <f t="shared" si="25"/>
        <v>1204000</v>
      </c>
      <c r="L553" s="38">
        <f t="shared" si="26"/>
        <v>0</v>
      </c>
      <c r="M553" s="37"/>
    </row>
    <row r="554" spans="1:13" x14ac:dyDescent="0.35">
      <c r="A554" s="44" t="str">
        <f t="shared" si="24"/>
        <v>August 2026</v>
      </c>
      <c r="B554" s="43">
        <v>46238</v>
      </c>
      <c r="C554" s="42" t="s">
        <v>70</v>
      </c>
      <c r="D554" s="42" t="s">
        <v>417</v>
      </c>
      <c r="E554" s="42" t="s">
        <v>65</v>
      </c>
      <c r="F554" s="42" t="s">
        <v>44</v>
      </c>
      <c r="G554" s="41">
        <v>420</v>
      </c>
      <c r="H554" s="41">
        <v>0</v>
      </c>
      <c r="I554" s="40">
        <f>IF(B554="","",IF(I553="",MASTER!$C$7,I553)+N(H554)-N(G554))</f>
        <v>10415</v>
      </c>
      <c r="J554" s="39">
        <v>17200</v>
      </c>
      <c r="K554" s="22">
        <f t="shared" si="25"/>
        <v>7224000</v>
      </c>
      <c r="L554" s="38">
        <f t="shared" si="26"/>
        <v>0</v>
      </c>
      <c r="M554" s="37" t="s">
        <v>420</v>
      </c>
    </row>
    <row r="555" spans="1:13" x14ac:dyDescent="0.35">
      <c r="A555" s="44" t="str">
        <f t="shared" si="24"/>
        <v>August 2026</v>
      </c>
      <c r="B555" s="43">
        <v>46238</v>
      </c>
      <c r="C555" s="42" t="s">
        <v>69</v>
      </c>
      <c r="D555" s="42" t="s">
        <v>415</v>
      </c>
      <c r="E555" s="42" t="s">
        <v>56</v>
      </c>
      <c r="F555" s="42" t="s">
        <v>44</v>
      </c>
      <c r="G555" s="41">
        <v>70</v>
      </c>
      <c r="H555" s="41">
        <v>0</v>
      </c>
      <c r="I555" s="40">
        <f>IF(B555="","",IF(I554="",MASTER!$C$7,I554)+N(H555)-N(G555))</f>
        <v>10345</v>
      </c>
      <c r="J555" s="39">
        <v>17200</v>
      </c>
      <c r="K555" s="22">
        <f t="shared" si="25"/>
        <v>1204000</v>
      </c>
      <c r="L555" s="38">
        <f t="shared" si="26"/>
        <v>0</v>
      </c>
      <c r="M555" s="37"/>
    </row>
    <row r="556" spans="1:13" x14ac:dyDescent="0.35">
      <c r="A556" s="44" t="str">
        <f t="shared" si="24"/>
        <v>August 2026</v>
      </c>
      <c r="B556" s="43">
        <v>46238</v>
      </c>
      <c r="C556" s="42" t="s">
        <v>64</v>
      </c>
      <c r="D556" s="42" t="s">
        <v>413</v>
      </c>
      <c r="E556" s="42" t="s">
        <v>63</v>
      </c>
      <c r="F556" s="42" t="s">
        <v>44</v>
      </c>
      <c r="G556" s="41">
        <v>150</v>
      </c>
      <c r="H556" s="41">
        <v>0</v>
      </c>
      <c r="I556" s="40">
        <f>IF(B556="","",IF(I555="",MASTER!$C$7,I555)+N(H556)-N(G556))</f>
        <v>10195</v>
      </c>
      <c r="J556" s="39">
        <v>17200</v>
      </c>
      <c r="K556" s="22">
        <f t="shared" si="25"/>
        <v>2580000</v>
      </c>
      <c r="L556" s="38">
        <f t="shared" si="26"/>
        <v>0</v>
      </c>
      <c r="M556" s="37"/>
    </row>
    <row r="557" spans="1:13" x14ac:dyDescent="0.35">
      <c r="A557" s="44" t="str">
        <f t="shared" si="24"/>
        <v>August 2026</v>
      </c>
      <c r="B557" s="43">
        <v>46239</v>
      </c>
      <c r="C557" s="42" t="s">
        <v>68</v>
      </c>
      <c r="D557" s="42" t="s">
        <v>418</v>
      </c>
      <c r="E557" s="42" t="s">
        <v>56</v>
      </c>
      <c r="F557" s="42" t="s">
        <v>44</v>
      </c>
      <c r="G557" s="41">
        <v>35</v>
      </c>
      <c r="H557" s="41">
        <v>0</v>
      </c>
      <c r="I557" s="40">
        <f>IF(B557="","",IF(I556="",MASTER!$C$7,I556)+N(H557)-N(G557))</f>
        <v>10160</v>
      </c>
      <c r="J557" s="39">
        <v>17200</v>
      </c>
      <c r="K557" s="22">
        <f t="shared" si="25"/>
        <v>602000</v>
      </c>
      <c r="L557" s="38">
        <f t="shared" si="26"/>
        <v>0</v>
      </c>
      <c r="M557" s="37" t="s">
        <v>420</v>
      </c>
    </row>
    <row r="558" spans="1:13" x14ac:dyDescent="0.35">
      <c r="A558" s="44" t="str">
        <f t="shared" si="24"/>
        <v>August 2026</v>
      </c>
      <c r="B558" s="43">
        <v>46239</v>
      </c>
      <c r="C558" s="42" t="s">
        <v>62</v>
      </c>
      <c r="D558" s="42" t="s">
        <v>97</v>
      </c>
      <c r="E558" s="42" t="s">
        <v>63</v>
      </c>
      <c r="F558" s="42" t="s">
        <v>44</v>
      </c>
      <c r="G558" s="41">
        <v>25</v>
      </c>
      <c r="H558" s="41">
        <v>0</v>
      </c>
      <c r="I558" s="40">
        <f>IF(B558="","",IF(I557="",MASTER!$C$7,I557)+N(H558)-N(G558))</f>
        <v>10135</v>
      </c>
      <c r="J558" s="39">
        <v>17200</v>
      </c>
      <c r="K558" s="22">
        <f t="shared" si="25"/>
        <v>430000</v>
      </c>
      <c r="L558" s="38">
        <f t="shared" si="26"/>
        <v>0</v>
      </c>
      <c r="M558" s="37"/>
    </row>
    <row r="559" spans="1:13" x14ac:dyDescent="0.35">
      <c r="A559" s="44" t="str">
        <f t="shared" si="24"/>
        <v>August 2026</v>
      </c>
      <c r="B559" s="43">
        <v>46240</v>
      </c>
      <c r="C559" s="42" t="s">
        <v>64</v>
      </c>
      <c r="D559" s="42" t="s">
        <v>413</v>
      </c>
      <c r="E559" s="42" t="s">
        <v>60</v>
      </c>
      <c r="F559" s="42" t="s">
        <v>44</v>
      </c>
      <c r="G559" s="41">
        <v>150</v>
      </c>
      <c r="H559" s="41">
        <v>0</v>
      </c>
      <c r="I559" s="40">
        <f>IF(B559="","",IF(I558="",MASTER!$C$7,I558)+N(H559)-N(G559))</f>
        <v>9985</v>
      </c>
      <c r="J559" s="39">
        <v>17200</v>
      </c>
      <c r="K559" s="22">
        <f t="shared" si="25"/>
        <v>2580000</v>
      </c>
      <c r="L559" s="38">
        <f t="shared" si="26"/>
        <v>0</v>
      </c>
      <c r="M559" s="37"/>
    </row>
    <row r="560" spans="1:13" x14ac:dyDescent="0.35">
      <c r="A560" s="44" t="str">
        <f t="shared" si="24"/>
        <v>August 2026</v>
      </c>
      <c r="B560" s="43">
        <v>46240</v>
      </c>
      <c r="C560" s="42" t="s">
        <v>62</v>
      </c>
      <c r="D560" s="42" t="s">
        <v>66</v>
      </c>
      <c r="E560" s="42" t="s">
        <v>65</v>
      </c>
      <c r="F560" s="42" t="s">
        <v>44</v>
      </c>
      <c r="G560" s="41">
        <v>0</v>
      </c>
      <c r="H560" s="41">
        <v>420</v>
      </c>
      <c r="I560" s="40">
        <f>IF(B560="","",IF(I559="",MASTER!$C$7,I559)+N(H560)-N(G560))</f>
        <v>10405</v>
      </c>
      <c r="J560" s="39">
        <v>17200</v>
      </c>
      <c r="K560" s="22">
        <f t="shared" si="25"/>
        <v>0</v>
      </c>
      <c r="L560" s="38">
        <f t="shared" si="26"/>
        <v>7224000</v>
      </c>
      <c r="M560" s="37"/>
    </row>
    <row r="561" spans="1:13" x14ac:dyDescent="0.35">
      <c r="A561" s="44" t="str">
        <f t="shared" si="24"/>
        <v>August 2026</v>
      </c>
      <c r="B561" s="43">
        <v>46241</v>
      </c>
      <c r="C561" s="42" t="s">
        <v>50</v>
      </c>
      <c r="D561" s="42" t="s">
        <v>414</v>
      </c>
      <c r="E561" s="42" t="s">
        <v>53</v>
      </c>
      <c r="F561" s="42" t="s">
        <v>44</v>
      </c>
      <c r="G561" s="41">
        <v>200</v>
      </c>
      <c r="H561" s="41">
        <v>0</v>
      </c>
      <c r="I561" s="40">
        <f>IF(B561="","",IF(I560="",MASTER!$C$7,I560)+N(H561)-N(G561))</f>
        <v>10205</v>
      </c>
      <c r="J561" s="39">
        <v>17200</v>
      </c>
      <c r="K561" s="22">
        <f t="shared" si="25"/>
        <v>3440000</v>
      </c>
      <c r="L561" s="38">
        <f t="shared" si="26"/>
        <v>0</v>
      </c>
      <c r="M561" s="37"/>
    </row>
    <row r="562" spans="1:13" x14ac:dyDescent="0.35">
      <c r="A562" s="44" t="str">
        <f t="shared" si="24"/>
        <v>August 2026</v>
      </c>
      <c r="B562" s="43">
        <v>46241</v>
      </c>
      <c r="C562" s="42" t="s">
        <v>64</v>
      </c>
      <c r="D562" s="42" t="s">
        <v>413</v>
      </c>
      <c r="E562" s="42" t="s">
        <v>53</v>
      </c>
      <c r="F562" s="42" t="s">
        <v>44</v>
      </c>
      <c r="G562" s="41">
        <v>250</v>
      </c>
      <c r="H562" s="41">
        <v>0</v>
      </c>
      <c r="I562" s="40">
        <f>IF(B562="","",IF(I561="",MASTER!$C$7,I561)+N(H562)-N(G562))</f>
        <v>9955</v>
      </c>
      <c r="J562" s="39">
        <v>17200</v>
      </c>
      <c r="K562" s="22">
        <f t="shared" si="25"/>
        <v>4300000</v>
      </c>
      <c r="L562" s="38">
        <f t="shared" si="26"/>
        <v>0</v>
      </c>
      <c r="M562" s="37"/>
    </row>
    <row r="563" spans="1:13" x14ac:dyDescent="0.35">
      <c r="A563" s="44" t="str">
        <f t="shared" si="24"/>
        <v>August 2026</v>
      </c>
      <c r="B563" s="43">
        <v>46241</v>
      </c>
      <c r="C563" s="42" t="s">
        <v>62</v>
      </c>
      <c r="D563" s="42" t="s">
        <v>97</v>
      </c>
      <c r="E563" s="42" t="s">
        <v>63</v>
      </c>
      <c r="F563" s="42" t="s">
        <v>44</v>
      </c>
      <c r="G563" s="41">
        <v>25</v>
      </c>
      <c r="H563" s="41">
        <v>0</v>
      </c>
      <c r="I563" s="40">
        <f>IF(B563="","",IF(I562="",MASTER!$C$7,I562)+N(H563)-N(G563))</f>
        <v>9930</v>
      </c>
      <c r="J563" s="39">
        <v>17200</v>
      </c>
      <c r="K563" s="22">
        <f t="shared" si="25"/>
        <v>430000</v>
      </c>
      <c r="L563" s="38">
        <f t="shared" si="26"/>
        <v>0</v>
      </c>
      <c r="M563" s="37"/>
    </row>
    <row r="564" spans="1:13" x14ac:dyDescent="0.35">
      <c r="A564" s="44" t="str">
        <f t="shared" si="24"/>
        <v>August 2026</v>
      </c>
      <c r="B564" s="43">
        <v>46241</v>
      </c>
      <c r="C564" s="42" t="s">
        <v>62</v>
      </c>
      <c r="D564" s="42" t="s">
        <v>61</v>
      </c>
      <c r="E564" s="42" t="s">
        <v>60</v>
      </c>
      <c r="F564" s="42" t="s">
        <v>44</v>
      </c>
      <c r="G564" s="41">
        <v>0</v>
      </c>
      <c r="H564" s="41">
        <v>4900</v>
      </c>
      <c r="I564" s="40">
        <f>IF(B564="","",IF(I563="",MASTER!$C$7,I563)+N(H564)-N(G564))</f>
        <v>14830</v>
      </c>
      <c r="J564" s="39">
        <v>17200</v>
      </c>
      <c r="K564" s="22">
        <f t="shared" si="25"/>
        <v>0</v>
      </c>
      <c r="L564" s="38">
        <f t="shared" si="26"/>
        <v>84280000</v>
      </c>
      <c r="M564" s="37"/>
    </row>
    <row r="565" spans="1:13" x14ac:dyDescent="0.35">
      <c r="A565" s="44" t="str">
        <f t="shared" si="24"/>
        <v>August 2026</v>
      </c>
      <c r="B565" s="43">
        <v>46242</v>
      </c>
      <c r="C565" s="42" t="s">
        <v>58</v>
      </c>
      <c r="D565" s="42" t="s">
        <v>410</v>
      </c>
      <c r="E565" s="42" t="s">
        <v>56</v>
      </c>
      <c r="F565" s="42" t="s">
        <v>44</v>
      </c>
      <c r="G565" s="41">
        <v>140</v>
      </c>
      <c r="H565" s="41">
        <v>0</v>
      </c>
      <c r="I565" s="40">
        <f>IF(B565="","",IF(I564="",MASTER!$C$7,I564)+N(H565)-N(G565))</f>
        <v>14690</v>
      </c>
      <c r="J565" s="39">
        <v>17200</v>
      </c>
      <c r="K565" s="22">
        <f t="shared" si="25"/>
        <v>2408000</v>
      </c>
      <c r="L565" s="38">
        <f t="shared" si="26"/>
        <v>0</v>
      </c>
      <c r="M565" s="37"/>
    </row>
    <row r="566" spans="1:13" x14ac:dyDescent="0.35">
      <c r="A566" s="44" t="str">
        <f t="shared" si="24"/>
        <v>August 2026</v>
      </c>
      <c r="B566" s="43">
        <v>46242</v>
      </c>
      <c r="C566" s="42" t="s">
        <v>58</v>
      </c>
      <c r="D566" s="42" t="s">
        <v>57</v>
      </c>
      <c r="E566" s="42" t="s">
        <v>56</v>
      </c>
      <c r="F566" s="42" t="s">
        <v>44</v>
      </c>
      <c r="G566" s="41">
        <v>280</v>
      </c>
      <c r="H566" s="41">
        <v>0</v>
      </c>
      <c r="I566" s="40">
        <f>IF(B566="","",IF(I565="",MASTER!$C$7,I565)+N(H566)-N(G566))</f>
        <v>14410</v>
      </c>
      <c r="J566" s="39">
        <v>17200</v>
      </c>
      <c r="K566" s="22">
        <f t="shared" si="25"/>
        <v>4816000</v>
      </c>
      <c r="L566" s="38">
        <f t="shared" si="26"/>
        <v>0</v>
      </c>
      <c r="M566" s="37" t="s">
        <v>420</v>
      </c>
    </row>
    <row r="567" spans="1:13" x14ac:dyDescent="0.35">
      <c r="A567" s="44" t="str">
        <f t="shared" si="24"/>
        <v>August 2026</v>
      </c>
      <c r="B567" s="43">
        <v>46242</v>
      </c>
      <c r="C567" s="42" t="s">
        <v>58</v>
      </c>
      <c r="D567" s="42" t="s">
        <v>97</v>
      </c>
      <c r="E567" s="42" t="s">
        <v>59</v>
      </c>
      <c r="F567" s="42" t="s">
        <v>44</v>
      </c>
      <c r="G567" s="41">
        <v>30</v>
      </c>
      <c r="H567" s="41">
        <v>0</v>
      </c>
      <c r="I567" s="40">
        <f>IF(B567="","",IF(I566="",MASTER!$C$7,I566)+N(H567)-N(G567))</f>
        <v>14380</v>
      </c>
      <c r="J567" s="39">
        <v>17200</v>
      </c>
      <c r="K567" s="22">
        <f t="shared" si="25"/>
        <v>516000</v>
      </c>
      <c r="L567" s="38">
        <f t="shared" si="26"/>
        <v>0</v>
      </c>
      <c r="M567" s="37"/>
    </row>
    <row r="568" spans="1:13" x14ac:dyDescent="0.35">
      <c r="A568" s="44" t="str">
        <f t="shared" si="24"/>
        <v>August 2026</v>
      </c>
      <c r="B568" s="43">
        <v>46243</v>
      </c>
      <c r="C568" s="42" t="s">
        <v>58</v>
      </c>
      <c r="D568" s="42" t="s">
        <v>57</v>
      </c>
      <c r="E568" s="42" t="s">
        <v>56</v>
      </c>
      <c r="F568" s="42" t="s">
        <v>44</v>
      </c>
      <c r="G568" s="41">
        <v>420</v>
      </c>
      <c r="H568" s="41">
        <v>0</v>
      </c>
      <c r="I568" s="40">
        <f>IF(B568="","",IF(I567="",MASTER!$C$7,I567)+N(H568)-N(G568))</f>
        <v>13960</v>
      </c>
      <c r="J568" s="39">
        <v>17200</v>
      </c>
      <c r="K568" s="22">
        <f t="shared" si="25"/>
        <v>7224000</v>
      </c>
      <c r="L568" s="38">
        <f t="shared" si="26"/>
        <v>0</v>
      </c>
      <c r="M568" s="37" t="s">
        <v>420</v>
      </c>
    </row>
    <row r="569" spans="1:13" x14ac:dyDescent="0.35">
      <c r="A569" s="44" t="str">
        <f t="shared" si="24"/>
        <v>August 2026</v>
      </c>
      <c r="B569" s="43">
        <v>46244</v>
      </c>
      <c r="C569" s="42" t="s">
        <v>52</v>
      </c>
      <c r="D569" s="42" t="s">
        <v>53</v>
      </c>
      <c r="E569" s="42" t="s">
        <v>63</v>
      </c>
      <c r="F569" s="42" t="s">
        <v>44</v>
      </c>
      <c r="G569" s="41">
        <v>100</v>
      </c>
      <c r="H569" s="41"/>
      <c r="I569" s="40">
        <f>IF(B569="","",IF(I568="",MASTER!$C$7,I568)+N(H569)-N(G569))</f>
        <v>13860</v>
      </c>
      <c r="J569" s="39">
        <v>17200</v>
      </c>
      <c r="K569" s="22">
        <f t="shared" si="25"/>
        <v>1720000</v>
      </c>
      <c r="L569" s="38" t="str">
        <f t="shared" si="26"/>
        <v/>
      </c>
      <c r="M569" s="37"/>
    </row>
    <row r="570" spans="1:13" x14ac:dyDescent="0.35">
      <c r="A570" s="44" t="str">
        <f t="shared" si="24"/>
        <v>August 2026</v>
      </c>
      <c r="B570" s="43">
        <v>46244</v>
      </c>
      <c r="C570" s="42" t="s">
        <v>69</v>
      </c>
      <c r="D570" s="42" t="s">
        <v>411</v>
      </c>
      <c r="E570" s="42" t="s">
        <v>56</v>
      </c>
      <c r="F570" s="42" t="s">
        <v>44</v>
      </c>
      <c r="G570" s="41">
        <v>150</v>
      </c>
      <c r="H570" s="41"/>
      <c r="I570" s="40">
        <f>IF(B570="","",IF(I569="",MASTER!$C$7,I569)+N(H570)-N(G570))</f>
        <v>13710</v>
      </c>
      <c r="J570" s="39">
        <v>17200</v>
      </c>
      <c r="K570" s="22">
        <f t="shared" si="25"/>
        <v>2580000</v>
      </c>
      <c r="L570" s="38" t="str">
        <f t="shared" si="26"/>
        <v/>
      </c>
      <c r="M570" s="37"/>
    </row>
    <row r="571" spans="1:13" x14ac:dyDescent="0.35">
      <c r="A571" s="44" t="str">
        <f t="shared" si="24"/>
        <v>August 2026</v>
      </c>
      <c r="B571" s="43">
        <v>46245</v>
      </c>
      <c r="C571" s="42" t="s">
        <v>64</v>
      </c>
      <c r="D571" s="42" t="s">
        <v>413</v>
      </c>
      <c r="E571" s="42" t="s">
        <v>63</v>
      </c>
      <c r="F571" s="42" t="s">
        <v>44</v>
      </c>
      <c r="G571" s="41">
        <v>270</v>
      </c>
      <c r="H571" s="41"/>
      <c r="I571" s="40">
        <f>IF(B571="","",IF(I570="",MASTER!$C$7,I570)+N(H571)-N(G571))</f>
        <v>13440</v>
      </c>
      <c r="J571" s="39">
        <v>17200</v>
      </c>
      <c r="K571" s="22">
        <f t="shared" si="25"/>
        <v>4644000</v>
      </c>
      <c r="L571" s="38" t="str">
        <f t="shared" si="26"/>
        <v/>
      </c>
      <c r="M571" s="37"/>
    </row>
    <row r="572" spans="1:13" x14ac:dyDescent="0.35">
      <c r="A572" s="44" t="str">
        <f t="shared" si="24"/>
        <v>August 2026</v>
      </c>
      <c r="B572" s="43">
        <v>46245</v>
      </c>
      <c r="C572" s="42" t="s">
        <v>58</v>
      </c>
      <c r="D572" s="42" t="s">
        <v>57</v>
      </c>
      <c r="E572" s="42" t="s">
        <v>56</v>
      </c>
      <c r="F572" s="42" t="s">
        <v>44</v>
      </c>
      <c r="G572" s="41">
        <v>280</v>
      </c>
      <c r="H572" s="41"/>
      <c r="I572" s="40">
        <f>IF(B572="","",IF(I571="",MASTER!$C$7,I571)+N(H572)-N(G572))</f>
        <v>13160</v>
      </c>
      <c r="J572" s="39">
        <v>17200</v>
      </c>
      <c r="K572" s="22">
        <f t="shared" si="25"/>
        <v>4816000</v>
      </c>
      <c r="L572" s="38" t="str">
        <f t="shared" si="26"/>
        <v/>
      </c>
      <c r="M572" s="37" t="s">
        <v>420</v>
      </c>
    </row>
    <row r="573" spans="1:13" x14ac:dyDescent="0.35">
      <c r="A573" s="44" t="str">
        <f t="shared" si="24"/>
        <v>August 2026</v>
      </c>
      <c r="B573" s="43">
        <v>46245</v>
      </c>
      <c r="C573" s="42" t="s">
        <v>388</v>
      </c>
      <c r="D573" s="42" t="s">
        <v>410</v>
      </c>
      <c r="E573" s="42" t="s">
        <v>63</v>
      </c>
      <c r="F573" s="42" t="s">
        <v>44</v>
      </c>
      <c r="G573" s="41">
        <v>70</v>
      </c>
      <c r="H573" s="41"/>
      <c r="I573" s="40">
        <f>IF(B573="","",IF(I572="",MASTER!$C$7,I572)+N(H573)-N(G573))</f>
        <v>13090</v>
      </c>
      <c r="J573" s="39">
        <v>17200</v>
      </c>
      <c r="K573" s="22">
        <f t="shared" si="25"/>
        <v>1204000</v>
      </c>
      <c r="L573" s="38" t="str">
        <f t="shared" si="26"/>
        <v/>
      </c>
      <c r="M573" s="37"/>
    </row>
    <row r="574" spans="1:13" x14ac:dyDescent="0.35">
      <c r="A574" s="44" t="str">
        <f t="shared" si="24"/>
        <v>August 2026</v>
      </c>
      <c r="B574" s="43">
        <v>46246</v>
      </c>
      <c r="C574" s="42" t="s">
        <v>58</v>
      </c>
      <c r="D574" s="42" t="s">
        <v>57</v>
      </c>
      <c r="E574" s="42" t="s">
        <v>56</v>
      </c>
      <c r="F574" s="42" t="s">
        <v>44</v>
      </c>
      <c r="G574" s="41">
        <v>210</v>
      </c>
      <c r="H574" s="41"/>
      <c r="I574" s="40">
        <f>IF(B574="","",IF(I573="",MASTER!$C$7,I573)+N(H574)-N(G574))</f>
        <v>12880</v>
      </c>
      <c r="J574" s="39">
        <v>17200</v>
      </c>
      <c r="K574" s="22">
        <f t="shared" si="25"/>
        <v>3612000</v>
      </c>
      <c r="L574" s="38" t="str">
        <f t="shared" si="26"/>
        <v/>
      </c>
      <c r="M574" s="37" t="s">
        <v>420</v>
      </c>
    </row>
    <row r="575" spans="1:13" x14ac:dyDescent="0.35">
      <c r="A575" s="44" t="str">
        <f t="shared" si="24"/>
        <v>August 2026</v>
      </c>
      <c r="B575" s="43">
        <v>46246</v>
      </c>
      <c r="C575" s="42" t="s">
        <v>62</v>
      </c>
      <c r="D575" s="42" t="s">
        <v>396</v>
      </c>
      <c r="E575" s="42" t="s">
        <v>63</v>
      </c>
      <c r="F575" s="42" t="s">
        <v>44</v>
      </c>
      <c r="G575" s="41">
        <v>20</v>
      </c>
      <c r="H575" s="41"/>
      <c r="I575" s="40">
        <f>IF(B575="","",IF(I574="",MASTER!$C$7,I574)+N(H575)-N(G575))</f>
        <v>12860</v>
      </c>
      <c r="J575" s="39">
        <v>17200</v>
      </c>
      <c r="K575" s="22">
        <f t="shared" si="25"/>
        <v>344000</v>
      </c>
      <c r="L575" s="38" t="str">
        <f t="shared" si="26"/>
        <v/>
      </c>
      <c r="M575" s="37"/>
    </row>
    <row r="576" spans="1:13" x14ac:dyDescent="0.35">
      <c r="A576" s="44" t="str">
        <f t="shared" si="24"/>
        <v>August 2026</v>
      </c>
      <c r="B576" s="43">
        <v>46248</v>
      </c>
      <c r="C576" s="42" t="s">
        <v>64</v>
      </c>
      <c r="D576" s="42" t="s">
        <v>413</v>
      </c>
      <c r="E576" s="42" t="s">
        <v>63</v>
      </c>
      <c r="F576" s="42" t="s">
        <v>44</v>
      </c>
      <c r="G576" s="41">
        <v>200</v>
      </c>
      <c r="H576" s="41"/>
      <c r="I576" s="40">
        <f>IF(B576="","",IF(I575="",MASTER!$C$7,I575)+N(H576)-N(G576))</f>
        <v>12660</v>
      </c>
      <c r="J576" s="39">
        <v>17200</v>
      </c>
      <c r="K576" s="22">
        <f t="shared" si="25"/>
        <v>3440000</v>
      </c>
      <c r="L576" s="38" t="str">
        <f t="shared" si="26"/>
        <v/>
      </c>
      <c r="M576" s="37"/>
    </row>
    <row r="577" spans="1:13" x14ac:dyDescent="0.35">
      <c r="A577" s="44" t="str">
        <f t="shared" si="24"/>
        <v>August 2026</v>
      </c>
      <c r="B577" s="43">
        <v>46248</v>
      </c>
      <c r="C577" s="42" t="s">
        <v>333</v>
      </c>
      <c r="D577" s="42" t="s">
        <v>391</v>
      </c>
      <c r="E577" s="42" t="s">
        <v>65</v>
      </c>
      <c r="F577" s="42" t="s">
        <v>44</v>
      </c>
      <c r="G577" s="41">
        <v>140</v>
      </c>
      <c r="H577" s="41"/>
      <c r="I577" s="40">
        <f>IF(B577="","",IF(I576="",MASTER!$C$7,I576)+N(H577)-N(G577))</f>
        <v>12520</v>
      </c>
      <c r="J577" s="39">
        <v>17200</v>
      </c>
      <c r="K577" s="22">
        <f t="shared" si="25"/>
        <v>2408000</v>
      </c>
      <c r="L577" s="38" t="str">
        <f t="shared" si="26"/>
        <v/>
      </c>
      <c r="M577" s="37" t="s">
        <v>420</v>
      </c>
    </row>
    <row r="578" spans="1:13" x14ac:dyDescent="0.35">
      <c r="A578" s="44" t="str">
        <f t="shared" ref="A578:A590" si="27">IF(B578="","",TEXT(B578,"MMMM YYYY"))</f>
        <v>August 2026</v>
      </c>
      <c r="B578" s="43">
        <v>46248</v>
      </c>
      <c r="C578" s="42" t="s">
        <v>58</v>
      </c>
      <c r="D578" s="42" t="s">
        <v>57</v>
      </c>
      <c r="E578" s="42" t="s">
        <v>56</v>
      </c>
      <c r="F578" s="42" t="s">
        <v>44</v>
      </c>
      <c r="G578" s="41">
        <v>210</v>
      </c>
      <c r="H578" s="41"/>
      <c r="I578" s="40">
        <f>IF(B578="","",IF(I577="",MASTER!$C$7,I577)+N(H578)-N(G578))</f>
        <v>12310</v>
      </c>
      <c r="J578" s="39">
        <v>17200</v>
      </c>
      <c r="K578" s="22">
        <f t="shared" ref="K578:K590" si="28">IF(OR(B578="",J578=""),"",N(G578)*J578)</f>
        <v>3612000</v>
      </c>
      <c r="L578" s="38" t="str">
        <f t="shared" ref="L578:L590" si="29">IF(OR(B578="",H578="",J578=""),"",N(H578)*J578)</f>
        <v/>
      </c>
      <c r="M578" s="37" t="s">
        <v>420</v>
      </c>
    </row>
    <row r="579" spans="1:13" x14ac:dyDescent="0.35">
      <c r="A579" s="44" t="str">
        <f t="shared" si="27"/>
        <v>August 2026</v>
      </c>
      <c r="B579" s="43">
        <v>46248</v>
      </c>
      <c r="C579" s="42" t="s">
        <v>262</v>
      </c>
      <c r="D579" s="42" t="s">
        <v>392</v>
      </c>
      <c r="E579" s="42"/>
      <c r="F579" s="42" t="s">
        <v>394</v>
      </c>
      <c r="G579" s="41">
        <v>35</v>
      </c>
      <c r="H579" s="41"/>
      <c r="I579" s="40">
        <f>IF(B579="","",IF(I578="",MASTER!$C$7,I578)+N(H579)-N(G579))</f>
        <v>12275</v>
      </c>
      <c r="J579" s="39">
        <v>17200</v>
      </c>
      <c r="K579" s="22">
        <f t="shared" si="28"/>
        <v>602000</v>
      </c>
      <c r="L579" s="38" t="str">
        <f t="shared" si="29"/>
        <v/>
      </c>
      <c r="M579" s="37"/>
    </row>
    <row r="580" spans="1:13" x14ac:dyDescent="0.35">
      <c r="A580" s="44" t="str">
        <f t="shared" si="27"/>
        <v>August 2026</v>
      </c>
      <c r="B580" s="43">
        <v>46248</v>
      </c>
      <c r="C580" s="42" t="s">
        <v>389</v>
      </c>
      <c r="D580" s="42" t="s">
        <v>395</v>
      </c>
      <c r="E580" s="42"/>
      <c r="F580" s="42" t="s">
        <v>395</v>
      </c>
      <c r="G580" s="41">
        <v>350</v>
      </c>
      <c r="H580" s="41"/>
      <c r="I580" s="40">
        <f>IF(B580="","",IF(I579="",MASTER!$C$7,I579)+N(H580)-N(G580))</f>
        <v>11925</v>
      </c>
      <c r="J580" s="39">
        <v>17200</v>
      </c>
      <c r="K580" s="22">
        <f t="shared" si="28"/>
        <v>6020000</v>
      </c>
      <c r="L580" s="38" t="str">
        <f t="shared" si="29"/>
        <v/>
      </c>
      <c r="M580" s="37"/>
    </row>
    <row r="581" spans="1:13" x14ac:dyDescent="0.35">
      <c r="A581" s="44" t="str">
        <f t="shared" si="27"/>
        <v>August 2026</v>
      </c>
      <c r="B581" s="43">
        <v>46248</v>
      </c>
      <c r="C581" s="42" t="s">
        <v>390</v>
      </c>
      <c r="D581" s="42" t="s">
        <v>392</v>
      </c>
      <c r="E581" s="42"/>
      <c r="F581" s="42" t="s">
        <v>394</v>
      </c>
      <c r="G581" s="41">
        <v>105</v>
      </c>
      <c r="H581" s="41"/>
      <c r="I581" s="40">
        <f>IF(B581="","",IF(I580="",MASTER!$C$7,I580)+N(H581)-N(G581))</f>
        <v>11820</v>
      </c>
      <c r="J581" s="39">
        <v>17200</v>
      </c>
      <c r="K581" s="22">
        <f t="shared" si="28"/>
        <v>1806000</v>
      </c>
      <c r="L581" s="38" t="str">
        <f t="shared" si="29"/>
        <v/>
      </c>
      <c r="M581" s="37"/>
    </row>
    <row r="582" spans="1:13" x14ac:dyDescent="0.35">
      <c r="A582" s="44" t="str">
        <f t="shared" si="27"/>
        <v>August 2026</v>
      </c>
      <c r="B582" s="43">
        <v>46248</v>
      </c>
      <c r="C582" s="42" t="s">
        <v>390</v>
      </c>
      <c r="D582" s="42" t="s">
        <v>393</v>
      </c>
      <c r="E582" s="42"/>
      <c r="F582" s="42" t="s">
        <v>394</v>
      </c>
      <c r="G582" s="41">
        <v>105</v>
      </c>
      <c r="H582" s="41"/>
      <c r="I582" s="40">
        <f>IF(B582="","",IF(I581="",MASTER!$C$7,I581)+N(H582)-N(G582))</f>
        <v>11715</v>
      </c>
      <c r="J582" s="39">
        <v>17200</v>
      </c>
      <c r="K582" s="22">
        <f t="shared" si="28"/>
        <v>1806000</v>
      </c>
      <c r="L582" s="38" t="str">
        <f t="shared" si="29"/>
        <v/>
      </c>
      <c r="M582" s="37"/>
    </row>
    <row r="583" spans="1:13" ht="14.5" customHeight="1" x14ac:dyDescent="0.35">
      <c r="A583" s="44" t="str">
        <f t="shared" si="27"/>
        <v>August 2026</v>
      </c>
      <c r="B583" s="43">
        <v>46248</v>
      </c>
      <c r="C583" s="42" t="s">
        <v>62</v>
      </c>
      <c r="D583" s="42" t="s">
        <v>397</v>
      </c>
      <c r="E583" s="42" t="s">
        <v>63</v>
      </c>
      <c r="F583" s="42" t="s">
        <v>44</v>
      </c>
      <c r="G583" s="41">
        <v>25</v>
      </c>
      <c r="H583" s="41"/>
      <c r="I583" s="40">
        <f>IF(B583="","",IF(I582="",MASTER!$C$7,I582)+N(H583)-N(G583))</f>
        <v>11690</v>
      </c>
      <c r="J583" s="39">
        <v>17200</v>
      </c>
      <c r="K583" s="22">
        <f t="shared" si="28"/>
        <v>430000</v>
      </c>
      <c r="L583" s="38" t="str">
        <f t="shared" si="29"/>
        <v/>
      </c>
      <c r="M583" s="37"/>
    </row>
    <row r="584" spans="1:13" ht="14" customHeight="1" x14ac:dyDescent="0.35">
      <c r="A584" s="44" t="str">
        <f t="shared" si="27"/>
        <v>August 2026</v>
      </c>
      <c r="B584" s="43">
        <v>46250</v>
      </c>
      <c r="C584" s="42" t="s">
        <v>58</v>
      </c>
      <c r="D584" s="42" t="s">
        <v>57</v>
      </c>
      <c r="E584" s="42" t="s">
        <v>56</v>
      </c>
      <c r="F584" s="42" t="s">
        <v>44</v>
      </c>
      <c r="G584" s="41">
        <v>105</v>
      </c>
      <c r="H584" s="41"/>
      <c r="I584" s="40">
        <f>IF(B584="","",IF(I583="",MASTER!$C$7,I583)+N(H584)-N(G584))</f>
        <v>11585</v>
      </c>
      <c r="J584" s="39">
        <v>17200</v>
      </c>
      <c r="K584" s="22">
        <f t="shared" si="28"/>
        <v>1806000</v>
      </c>
      <c r="L584" s="38" t="str">
        <f t="shared" si="29"/>
        <v/>
      </c>
      <c r="M584" s="37" t="s">
        <v>420</v>
      </c>
    </row>
    <row r="585" spans="1:13" ht="14" customHeight="1" x14ac:dyDescent="0.35">
      <c r="A585" s="44" t="str">
        <f t="shared" si="27"/>
        <v>August 2026</v>
      </c>
      <c r="B585" s="43">
        <v>46250</v>
      </c>
      <c r="C585" s="42" t="s">
        <v>93</v>
      </c>
      <c r="D585" s="42" t="s">
        <v>92</v>
      </c>
      <c r="E585" s="42" t="s">
        <v>101</v>
      </c>
      <c r="F585" s="42" t="s">
        <v>44</v>
      </c>
      <c r="G585" s="41">
        <v>65</v>
      </c>
      <c r="H585" s="41"/>
      <c r="I585" s="40">
        <f>IF(B585="","",IF(I584="",MASTER!$C$7,I584)+N(H585)-N(G585))</f>
        <v>11520</v>
      </c>
      <c r="J585" s="39">
        <v>17200</v>
      </c>
      <c r="K585" s="22">
        <f t="shared" si="28"/>
        <v>1118000</v>
      </c>
      <c r="L585" s="38" t="str">
        <f t="shared" si="29"/>
        <v/>
      </c>
      <c r="M585" s="37"/>
    </row>
    <row r="586" spans="1:13" ht="13.5" customHeight="1" x14ac:dyDescent="0.35">
      <c r="A586" s="44" t="str">
        <f t="shared" si="27"/>
        <v>August 2026</v>
      </c>
      <c r="B586" s="43">
        <v>46252</v>
      </c>
      <c r="C586" s="42" t="s">
        <v>50</v>
      </c>
      <c r="D586" s="42" t="s">
        <v>414</v>
      </c>
      <c r="E586" s="42" t="s">
        <v>53</v>
      </c>
      <c r="F586" s="42" t="s">
        <v>44</v>
      </c>
      <c r="G586" s="41">
        <v>220</v>
      </c>
      <c r="H586" s="41"/>
      <c r="I586" s="40">
        <f>IF(B586="","",IF(I585="",MASTER!$C$7,I585)+N(H586)-N(G586))</f>
        <v>11300</v>
      </c>
      <c r="J586" s="39">
        <v>17200</v>
      </c>
      <c r="K586" s="22">
        <f t="shared" si="28"/>
        <v>3784000</v>
      </c>
      <c r="L586" s="38" t="str">
        <f t="shared" si="29"/>
        <v/>
      </c>
      <c r="M586" s="37"/>
    </row>
    <row r="587" spans="1:13" ht="13.5" customHeight="1" x14ac:dyDescent="0.35">
      <c r="A587" s="44" t="str">
        <f t="shared" si="27"/>
        <v>August 2026</v>
      </c>
      <c r="B587" s="43">
        <v>46252</v>
      </c>
      <c r="C587" s="42" t="s">
        <v>64</v>
      </c>
      <c r="D587" s="42" t="s">
        <v>413</v>
      </c>
      <c r="E587" s="42" t="s">
        <v>53</v>
      </c>
      <c r="F587" s="42" t="s">
        <v>44</v>
      </c>
      <c r="G587" s="41">
        <v>150</v>
      </c>
      <c r="H587" s="41"/>
      <c r="I587" s="40">
        <f>IF(B587="","",IF(I586="",MASTER!$C$7,I586)+N(H587)-N(G587))</f>
        <v>11150</v>
      </c>
      <c r="J587" s="39">
        <v>17200</v>
      </c>
      <c r="K587" s="22">
        <f t="shared" si="28"/>
        <v>2580000</v>
      </c>
      <c r="L587" s="38" t="str">
        <f t="shared" si="29"/>
        <v/>
      </c>
      <c r="M587" s="37"/>
    </row>
    <row r="588" spans="1:13" ht="14" customHeight="1" x14ac:dyDescent="0.35">
      <c r="A588" s="44" t="str">
        <f t="shared" si="27"/>
        <v>August 2026</v>
      </c>
      <c r="B588" s="43">
        <v>46253</v>
      </c>
      <c r="C588" s="42" t="s">
        <v>58</v>
      </c>
      <c r="D588" s="42" t="s">
        <v>57</v>
      </c>
      <c r="E588" s="42" t="s">
        <v>56</v>
      </c>
      <c r="F588" s="42" t="s">
        <v>44</v>
      </c>
      <c r="G588" s="41">
        <v>210</v>
      </c>
      <c r="H588" s="41"/>
      <c r="I588" s="40">
        <f>IF(B588="","",IF(I587="",MASTER!$C$7,I587)+N(H588)-N(G588))</f>
        <v>10940</v>
      </c>
      <c r="J588" s="39">
        <v>17200</v>
      </c>
      <c r="K588" s="22">
        <f t="shared" si="28"/>
        <v>3612000</v>
      </c>
      <c r="L588" s="38" t="str">
        <f t="shared" si="29"/>
        <v/>
      </c>
      <c r="M588" s="37" t="s">
        <v>420</v>
      </c>
    </row>
    <row r="589" spans="1:13" ht="13.5" customHeight="1" x14ac:dyDescent="0.35">
      <c r="A589" s="44" t="str">
        <f t="shared" si="27"/>
        <v>August 2026</v>
      </c>
      <c r="B589" s="43">
        <v>46253</v>
      </c>
      <c r="C589" s="42" t="s">
        <v>64</v>
      </c>
      <c r="D589" s="42" t="s">
        <v>410</v>
      </c>
      <c r="E589" s="42" t="s">
        <v>56</v>
      </c>
      <c r="F589" s="42" t="s">
        <v>44</v>
      </c>
      <c r="G589" s="41">
        <v>105</v>
      </c>
      <c r="H589" s="41"/>
      <c r="I589" s="40">
        <f>IF(B589="","",IF(I588="",MASTER!$C$7,I588)+N(H589)-N(G589))</f>
        <v>10835</v>
      </c>
      <c r="J589" s="39">
        <v>17200</v>
      </c>
      <c r="K589" s="22">
        <f t="shared" si="28"/>
        <v>1806000</v>
      </c>
      <c r="L589" s="38" t="str">
        <f t="shared" si="29"/>
        <v/>
      </c>
      <c r="M589" s="37"/>
    </row>
    <row r="590" spans="1:13" ht="13.5" customHeight="1" x14ac:dyDescent="0.35">
      <c r="A590" s="44" t="str">
        <f t="shared" si="27"/>
        <v>August 2026</v>
      </c>
      <c r="B590" s="43">
        <v>46253</v>
      </c>
      <c r="C590" s="42" t="s">
        <v>62</v>
      </c>
      <c r="D590" s="42" t="s">
        <v>396</v>
      </c>
      <c r="E590" s="42" t="s">
        <v>63</v>
      </c>
      <c r="F590" s="42" t="s">
        <v>44</v>
      </c>
      <c r="G590" s="41">
        <v>25</v>
      </c>
      <c r="H590" s="41"/>
      <c r="I590" s="40">
        <f>IF(B590="","",IF(I589="",MASTER!$C$7,I589)+N(H590)-N(G590))</f>
        <v>10810</v>
      </c>
      <c r="J590" s="39">
        <v>17200</v>
      </c>
      <c r="K590" s="22">
        <f t="shared" si="28"/>
        <v>430000</v>
      </c>
      <c r="L590" s="38" t="str">
        <f t="shared" si="29"/>
        <v/>
      </c>
      <c r="M590" s="37"/>
    </row>
    <row r="591" spans="1:13" ht="14" customHeight="1" x14ac:dyDescent="0.35">
      <c r="A591" s="44" t="str">
        <f>IF(B591="","",TEXT(B591,"MMMM YYYY"))</f>
        <v>August 2026</v>
      </c>
      <c r="B591" s="43">
        <v>46254</v>
      </c>
      <c r="C591" s="42" t="s">
        <v>64</v>
      </c>
      <c r="D591" s="42" t="s">
        <v>413</v>
      </c>
      <c r="E591" s="42" t="s">
        <v>53</v>
      </c>
      <c r="F591" s="42" t="s">
        <v>44</v>
      </c>
      <c r="G591" s="41">
        <v>265</v>
      </c>
      <c r="H591" s="41"/>
      <c r="I591" s="40">
        <f>IF(B591="","",IF(I590="",MASTER!$C$7,I590)+N(H591)-N(G591))</f>
        <v>10545</v>
      </c>
      <c r="J591" s="39">
        <v>17200</v>
      </c>
      <c r="K591" s="22">
        <f>IF(OR(B591="",J591=""),"",N(G591)*J591)</f>
        <v>4558000</v>
      </c>
      <c r="L591" s="38" t="str">
        <f>IF(OR(B591="",H591="",J591=""),"",N(H591)*J591)</f>
        <v/>
      </c>
      <c r="M591" s="37"/>
    </row>
    <row r="592" spans="1:13" ht="14" customHeight="1" x14ac:dyDescent="0.35">
      <c r="A592" s="36" t="str">
        <f t="shared" ref="A592" si="30">IF(B592="","",TEXT(B592,"MMMM YYYY"))</f>
        <v>August 2026</v>
      </c>
      <c r="B592" s="35">
        <v>46254</v>
      </c>
      <c r="C592" s="34" t="s">
        <v>106</v>
      </c>
      <c r="D592" s="34" t="s">
        <v>92</v>
      </c>
      <c r="E592" s="34" t="s">
        <v>101</v>
      </c>
      <c r="F592" s="34" t="s">
        <v>44</v>
      </c>
      <c r="G592" s="33">
        <v>25</v>
      </c>
      <c r="H592" s="33"/>
      <c r="I592" s="40">
        <f>IF(B592="","",IF(I591="",MASTER!$C$7,I591)+N(H592)-N(G592))</f>
        <v>10520</v>
      </c>
      <c r="J592" s="39">
        <v>17200</v>
      </c>
      <c r="K592" s="32">
        <f t="shared" ref="K592" si="31">IF(OR(B592="",J592=""),"",N(G592)*J592)</f>
        <v>430000</v>
      </c>
      <c r="L592" s="31" t="str">
        <f t="shared" ref="L592" si="32">IF(OR(B592="",H592="",J592=""),"",N(H592)*J592)</f>
        <v/>
      </c>
      <c r="M592" s="30" t="s">
        <v>420</v>
      </c>
    </row>
    <row r="593" spans="1:13" ht="14" customHeight="1" x14ac:dyDescent="0.35">
      <c r="A593" s="44" t="str">
        <f t="shared" ref="A593:A612" si="33">IF(B593="","",TEXT(B593,"MMMM YYYY"))</f>
        <v>August 2026</v>
      </c>
      <c r="B593" s="43">
        <v>46255</v>
      </c>
      <c r="C593" s="42" t="s">
        <v>58</v>
      </c>
      <c r="D593" s="42" t="s">
        <v>57</v>
      </c>
      <c r="E593" s="42" t="s">
        <v>56</v>
      </c>
      <c r="F593" s="42" t="s">
        <v>44</v>
      </c>
      <c r="G593" s="41">
        <v>210</v>
      </c>
      <c r="H593" s="41"/>
      <c r="I593" s="40">
        <f>IF(B593="","",IF(I592="",MASTER!$C$7,I592)+N(H593)-N(G593))</f>
        <v>10310</v>
      </c>
      <c r="J593" s="39">
        <v>17200</v>
      </c>
      <c r="K593" s="22">
        <f t="shared" ref="K593:K612" si="34">IF(OR(B593="",J593=""),"",N(G593)*J593)</f>
        <v>3612000</v>
      </c>
      <c r="L593" s="38" t="str">
        <f t="shared" ref="L593:L612" si="35">IF(OR(B593="",H593="",J593=""),"",N(H593)*J593)</f>
        <v/>
      </c>
      <c r="M593" s="37" t="s">
        <v>420</v>
      </c>
    </row>
    <row r="594" spans="1:13" ht="14" customHeight="1" x14ac:dyDescent="0.35">
      <c r="A594" s="44" t="str">
        <f t="shared" si="33"/>
        <v>August 2026</v>
      </c>
      <c r="B594" s="43">
        <v>46255</v>
      </c>
      <c r="C594" s="42" t="s">
        <v>62</v>
      </c>
      <c r="D594" s="42" t="s">
        <v>397</v>
      </c>
      <c r="E594" s="42" t="s">
        <v>63</v>
      </c>
      <c r="F594" s="42" t="s">
        <v>44</v>
      </c>
      <c r="G594" s="41">
        <v>35</v>
      </c>
      <c r="H594" s="41"/>
      <c r="I594" s="40">
        <f>IF(B594="","",IF(I593="",MASTER!$C$7,I593)+N(H594)-N(G594))</f>
        <v>10275</v>
      </c>
      <c r="J594" s="39">
        <v>17200</v>
      </c>
      <c r="K594" s="22">
        <f t="shared" si="34"/>
        <v>602000</v>
      </c>
      <c r="L594" s="38" t="str">
        <f t="shared" si="35"/>
        <v/>
      </c>
      <c r="M594" s="37"/>
    </row>
    <row r="595" spans="1:13" ht="14" customHeight="1" x14ac:dyDescent="0.35">
      <c r="A595" s="44" t="str">
        <f t="shared" si="33"/>
        <v>August 2026</v>
      </c>
      <c r="B595" s="43">
        <v>46256</v>
      </c>
      <c r="C595" s="42" t="s">
        <v>390</v>
      </c>
      <c r="D595" s="42" t="s">
        <v>398</v>
      </c>
      <c r="E595" s="42" t="s">
        <v>60</v>
      </c>
      <c r="F595" s="42" t="s">
        <v>44</v>
      </c>
      <c r="G595" s="41">
        <v>0</v>
      </c>
      <c r="H595" s="41">
        <v>105</v>
      </c>
      <c r="I595" s="40">
        <f>IF(B595="","",IF(I594="",MASTER!$C$7,I594)+N(H595)-N(G595))</f>
        <v>10380</v>
      </c>
      <c r="J595" s="39">
        <v>17200</v>
      </c>
      <c r="K595" s="22">
        <f t="shared" si="34"/>
        <v>0</v>
      </c>
      <c r="L595" s="38">
        <f t="shared" si="35"/>
        <v>1806000</v>
      </c>
      <c r="M595" s="37" t="s">
        <v>394</v>
      </c>
    </row>
    <row r="596" spans="1:13" ht="14" customHeight="1" x14ac:dyDescent="0.35">
      <c r="A596" s="44" t="str">
        <f t="shared" si="33"/>
        <v>August 2026</v>
      </c>
      <c r="B596" s="43">
        <v>46256</v>
      </c>
      <c r="C596" s="42" t="s">
        <v>58</v>
      </c>
      <c r="D596" s="42" t="s">
        <v>57</v>
      </c>
      <c r="E596" s="42" t="s">
        <v>56</v>
      </c>
      <c r="F596" s="42" t="s">
        <v>44</v>
      </c>
      <c r="G596" s="41">
        <v>70</v>
      </c>
      <c r="H596" s="41"/>
      <c r="I596" s="40">
        <f>IF(B596="","",IF(I595="",MASTER!$C$7,I595)+N(H596)-N(G596))</f>
        <v>10310</v>
      </c>
      <c r="J596" s="39">
        <v>17200</v>
      </c>
      <c r="K596" s="22">
        <f t="shared" si="34"/>
        <v>1204000</v>
      </c>
      <c r="L596" s="38" t="str">
        <f t="shared" si="35"/>
        <v/>
      </c>
      <c r="M596" s="37" t="s">
        <v>420</v>
      </c>
    </row>
    <row r="597" spans="1:13" ht="14" customHeight="1" x14ac:dyDescent="0.35">
      <c r="A597" s="44" t="str">
        <f t="shared" si="33"/>
        <v>August 2026</v>
      </c>
      <c r="B597" s="43">
        <v>46257</v>
      </c>
      <c r="C597" s="42" t="s">
        <v>58</v>
      </c>
      <c r="D597" s="42" t="s">
        <v>57</v>
      </c>
      <c r="E597" s="42" t="s">
        <v>56</v>
      </c>
      <c r="F597" s="42" t="s">
        <v>44</v>
      </c>
      <c r="G597" s="41">
        <v>140</v>
      </c>
      <c r="H597" s="41"/>
      <c r="I597" s="40">
        <f>IF(B597="","",IF(I596="",MASTER!$C$7,I596)+N(H597)-N(G597))</f>
        <v>10170</v>
      </c>
      <c r="J597" s="39">
        <v>17200</v>
      </c>
      <c r="K597" s="22">
        <f t="shared" si="34"/>
        <v>2408000</v>
      </c>
      <c r="L597" s="38" t="str">
        <f t="shared" si="35"/>
        <v/>
      </c>
      <c r="M597" s="37" t="s">
        <v>420</v>
      </c>
    </row>
    <row r="598" spans="1:13" ht="14" customHeight="1" x14ac:dyDescent="0.35">
      <c r="A598" s="44" t="str">
        <f t="shared" si="33"/>
        <v>August 2026</v>
      </c>
      <c r="B598" s="43">
        <v>46258</v>
      </c>
      <c r="C598" s="42" t="s">
        <v>64</v>
      </c>
      <c r="D598" s="42" t="s">
        <v>413</v>
      </c>
      <c r="E598" s="42" t="s">
        <v>53</v>
      </c>
      <c r="F598" s="42" t="s">
        <v>44</v>
      </c>
      <c r="G598" s="41">
        <v>200</v>
      </c>
      <c r="H598" s="41"/>
      <c r="I598" s="40">
        <f>IF(B598="","",IF(I597="",MASTER!$C$7,I597)+N(H598)-N(G598))</f>
        <v>9970</v>
      </c>
      <c r="J598" s="39">
        <v>17200</v>
      </c>
      <c r="K598" s="22">
        <f t="shared" si="34"/>
        <v>3440000</v>
      </c>
      <c r="L598" s="38" t="str">
        <f t="shared" si="35"/>
        <v/>
      </c>
      <c r="M598" s="37"/>
    </row>
    <row r="599" spans="1:13" ht="14" customHeight="1" x14ac:dyDescent="0.35">
      <c r="A599" s="44" t="str">
        <f t="shared" si="33"/>
        <v>August 2026</v>
      </c>
      <c r="B599" s="43">
        <v>46258</v>
      </c>
      <c r="C599" s="42" t="s">
        <v>111</v>
      </c>
      <c r="D599" s="42" t="s">
        <v>412</v>
      </c>
      <c r="E599" s="42" t="s">
        <v>53</v>
      </c>
      <c r="F599" s="42" t="s">
        <v>44</v>
      </c>
      <c r="G599" s="41">
        <v>100</v>
      </c>
      <c r="H599" s="41"/>
      <c r="I599" s="40">
        <f>IF(B599="","",IF(I598="",MASTER!$C$7,I598)+N(H599)-N(G599))</f>
        <v>9870</v>
      </c>
      <c r="J599" s="39">
        <v>17200</v>
      </c>
      <c r="K599" s="22">
        <f t="shared" si="34"/>
        <v>1720000</v>
      </c>
      <c r="L599" s="38" t="str">
        <f t="shared" si="35"/>
        <v/>
      </c>
      <c r="M599" s="37"/>
    </row>
    <row r="600" spans="1:13" ht="14" customHeight="1" x14ac:dyDescent="0.35">
      <c r="A600" s="44" t="str">
        <f t="shared" si="33"/>
        <v>August 2026</v>
      </c>
      <c r="B600" s="43">
        <v>46258</v>
      </c>
      <c r="C600" s="42" t="s">
        <v>93</v>
      </c>
      <c r="D600" s="42" t="s">
        <v>92</v>
      </c>
      <c r="E600" s="42" t="s">
        <v>101</v>
      </c>
      <c r="F600" s="42" t="s">
        <v>44</v>
      </c>
      <c r="G600" s="41">
        <v>65</v>
      </c>
      <c r="H600" s="41"/>
      <c r="I600" s="40">
        <f>IF(B600="","",IF(I599="",MASTER!$C$7,I599)+N(H600)-N(G600))</f>
        <v>9805</v>
      </c>
      <c r="J600" s="39">
        <v>17200</v>
      </c>
      <c r="K600" s="22">
        <f t="shared" si="34"/>
        <v>1118000</v>
      </c>
      <c r="L600" s="38" t="str">
        <f t="shared" si="35"/>
        <v/>
      </c>
      <c r="M600" s="37"/>
    </row>
    <row r="601" spans="1:13" ht="14" customHeight="1" x14ac:dyDescent="0.35">
      <c r="A601" s="44" t="str">
        <f t="shared" si="33"/>
        <v>August 2026</v>
      </c>
      <c r="B601" s="43">
        <v>46258</v>
      </c>
      <c r="C601" s="42" t="s">
        <v>399</v>
      </c>
      <c r="D601" s="42" t="s">
        <v>411</v>
      </c>
      <c r="E601" s="42" t="s">
        <v>56</v>
      </c>
      <c r="F601" s="42" t="s">
        <v>44</v>
      </c>
      <c r="G601" s="41">
        <v>105</v>
      </c>
      <c r="H601" s="41"/>
      <c r="I601" s="40">
        <f>IF(B601="","",IF(I600="",MASTER!$C$7,I600)+N(H601)-N(G601))</f>
        <v>9700</v>
      </c>
      <c r="J601" s="39">
        <v>17200</v>
      </c>
      <c r="K601" s="22">
        <f t="shared" si="34"/>
        <v>1806000</v>
      </c>
      <c r="L601" s="38" t="str">
        <f t="shared" si="35"/>
        <v/>
      </c>
      <c r="M601" s="37"/>
    </row>
    <row r="602" spans="1:13" ht="14" customHeight="1" x14ac:dyDescent="0.35">
      <c r="A602" s="44" t="str">
        <f t="shared" si="33"/>
        <v>August 2026</v>
      </c>
      <c r="B602" s="43">
        <v>46258</v>
      </c>
      <c r="C602" s="42" t="s">
        <v>58</v>
      </c>
      <c r="D602" s="42" t="s">
        <v>57</v>
      </c>
      <c r="E602" s="42" t="s">
        <v>56</v>
      </c>
      <c r="F602" s="42" t="s">
        <v>44</v>
      </c>
      <c r="G602" s="41">
        <v>140</v>
      </c>
      <c r="H602" s="41"/>
      <c r="I602" s="40">
        <f>IF(B602="","",IF(I601="",MASTER!$C$7,I601)+N(H602)-N(G602))</f>
        <v>9560</v>
      </c>
      <c r="J602" s="39">
        <v>17200</v>
      </c>
      <c r="K602" s="22">
        <f t="shared" si="34"/>
        <v>2408000</v>
      </c>
      <c r="L602" s="38" t="str">
        <f t="shared" si="35"/>
        <v/>
      </c>
      <c r="M602" s="37" t="s">
        <v>420</v>
      </c>
    </row>
    <row r="603" spans="1:13" ht="14" customHeight="1" x14ac:dyDescent="0.35">
      <c r="A603" s="44" t="str">
        <f t="shared" si="33"/>
        <v>August 2026</v>
      </c>
      <c r="B603" s="43">
        <v>46258</v>
      </c>
      <c r="C603" s="42" t="s">
        <v>68</v>
      </c>
      <c r="D603" s="42" t="s">
        <v>418</v>
      </c>
      <c r="E603" s="42" t="s">
        <v>56</v>
      </c>
      <c r="F603" s="42" t="s">
        <v>44</v>
      </c>
      <c r="G603" s="41">
        <v>20</v>
      </c>
      <c r="H603" s="41"/>
      <c r="I603" s="40">
        <f>IF(B603="","",IF(I602="",MASTER!$C$7,I602)+N(H603)-N(G603))</f>
        <v>9540</v>
      </c>
      <c r="J603" s="39">
        <v>17200</v>
      </c>
      <c r="K603" s="22">
        <f t="shared" si="34"/>
        <v>344000</v>
      </c>
      <c r="L603" s="38" t="str">
        <f t="shared" si="35"/>
        <v/>
      </c>
      <c r="M603" s="37" t="s">
        <v>420</v>
      </c>
    </row>
    <row r="604" spans="1:13" ht="14" customHeight="1" x14ac:dyDescent="0.35">
      <c r="A604" s="44" t="str">
        <f t="shared" si="33"/>
        <v>August 2026</v>
      </c>
      <c r="B604" s="43">
        <v>46258</v>
      </c>
      <c r="C604" s="42" t="s">
        <v>62</v>
      </c>
      <c r="D604" s="42" t="s">
        <v>97</v>
      </c>
      <c r="E604" s="42" t="s">
        <v>63</v>
      </c>
      <c r="F604" s="42" t="s">
        <v>44</v>
      </c>
      <c r="G604" s="41">
        <v>35</v>
      </c>
      <c r="H604" s="41"/>
      <c r="I604" s="40">
        <f>IF(B604="","",IF(I603="",MASTER!$C$7,I603)+N(H604)-N(G604))</f>
        <v>9505</v>
      </c>
      <c r="J604" s="39">
        <v>17200</v>
      </c>
      <c r="K604" s="22">
        <f t="shared" si="34"/>
        <v>602000</v>
      </c>
      <c r="L604" s="38" t="str">
        <f t="shared" si="35"/>
        <v/>
      </c>
      <c r="M604" s="37"/>
    </row>
    <row r="605" spans="1:13" ht="14" customHeight="1" x14ac:dyDescent="0.35">
      <c r="A605" s="44" t="str">
        <f t="shared" si="33"/>
        <v>August 2026</v>
      </c>
      <c r="B605" s="43">
        <v>46259</v>
      </c>
      <c r="C605" s="42" t="s">
        <v>50</v>
      </c>
      <c r="D605" s="42" t="s">
        <v>414</v>
      </c>
      <c r="E605" s="42" t="s">
        <v>53</v>
      </c>
      <c r="F605" s="42" t="s">
        <v>44</v>
      </c>
      <c r="G605" s="41">
        <v>160</v>
      </c>
      <c r="H605" s="41"/>
      <c r="I605" s="40">
        <f>IF(B605="","",IF(I604="",MASTER!$C$7,I604)+N(H605)-N(G605))</f>
        <v>9345</v>
      </c>
      <c r="J605" s="39">
        <v>17200</v>
      </c>
      <c r="K605" s="22">
        <f t="shared" si="34"/>
        <v>2752000</v>
      </c>
      <c r="L605" s="38" t="str">
        <f t="shared" si="35"/>
        <v/>
      </c>
      <c r="M605" s="37"/>
    </row>
    <row r="606" spans="1:13" ht="14" customHeight="1" x14ac:dyDescent="0.35">
      <c r="A606" s="44" t="str">
        <f t="shared" si="33"/>
        <v>August 2026</v>
      </c>
      <c r="B606" s="43">
        <v>46260</v>
      </c>
      <c r="C606" s="42" t="s">
        <v>58</v>
      </c>
      <c r="D606" s="42" t="s">
        <v>57</v>
      </c>
      <c r="E606" s="42" t="s">
        <v>56</v>
      </c>
      <c r="F606" s="42" t="s">
        <v>44</v>
      </c>
      <c r="G606" s="41">
        <v>210</v>
      </c>
      <c r="H606" s="41"/>
      <c r="I606" s="40">
        <f>IF(B606="","",IF(I605="",MASTER!$C$7,I605)+N(H606)-N(G606))</f>
        <v>9135</v>
      </c>
      <c r="J606" s="39">
        <v>17200</v>
      </c>
      <c r="K606" s="22">
        <f t="shared" si="34"/>
        <v>3612000</v>
      </c>
      <c r="L606" s="38" t="str">
        <f t="shared" si="35"/>
        <v/>
      </c>
      <c r="M606" s="37" t="s">
        <v>420</v>
      </c>
    </row>
    <row r="607" spans="1:13" ht="14" customHeight="1" x14ac:dyDescent="0.35">
      <c r="A607" s="44" t="str">
        <f t="shared" si="33"/>
        <v>August 2026</v>
      </c>
      <c r="B607" s="43">
        <v>46260</v>
      </c>
      <c r="C607" s="42" t="s">
        <v>64</v>
      </c>
      <c r="D607" s="42" t="s">
        <v>413</v>
      </c>
      <c r="E607" s="42" t="s">
        <v>53</v>
      </c>
      <c r="F607" s="42" t="s">
        <v>44</v>
      </c>
      <c r="G607" s="41">
        <v>150</v>
      </c>
      <c r="H607" s="41"/>
      <c r="I607" s="40">
        <f>IF(B607="","",IF(I606="",MASTER!$C$7,I606)+N(H607)-N(G607))</f>
        <v>8985</v>
      </c>
      <c r="J607" s="39">
        <v>17200</v>
      </c>
      <c r="K607" s="22">
        <f t="shared" si="34"/>
        <v>2580000</v>
      </c>
      <c r="L607" s="38" t="str">
        <f t="shared" si="35"/>
        <v/>
      </c>
      <c r="M607" s="37"/>
    </row>
    <row r="608" spans="1:13" ht="14" customHeight="1" x14ac:dyDescent="0.35">
      <c r="A608" s="44" t="str">
        <f t="shared" si="33"/>
        <v>August 2026</v>
      </c>
      <c r="B608" s="43">
        <v>46260</v>
      </c>
      <c r="C608" s="42" t="s">
        <v>58</v>
      </c>
      <c r="D608" s="42" t="s">
        <v>57</v>
      </c>
      <c r="E608" s="42" t="s">
        <v>56</v>
      </c>
      <c r="F608" s="42" t="s">
        <v>44</v>
      </c>
      <c r="G608" s="41">
        <v>70</v>
      </c>
      <c r="H608" s="41"/>
      <c r="I608" s="40">
        <f>IF(B608="","",IF(I607="",MASTER!$C$7,I607)+N(H608)-N(G608))</f>
        <v>8915</v>
      </c>
      <c r="J608" s="39">
        <v>17200</v>
      </c>
      <c r="K608" s="22">
        <f t="shared" si="34"/>
        <v>1204000</v>
      </c>
      <c r="L608" s="38" t="str">
        <f t="shared" si="35"/>
        <v/>
      </c>
      <c r="M608" s="37" t="s">
        <v>420</v>
      </c>
    </row>
    <row r="609" spans="1:13" ht="14" customHeight="1" x14ac:dyDescent="0.35">
      <c r="A609" s="44" t="str">
        <f t="shared" si="33"/>
        <v>August 2026</v>
      </c>
      <c r="B609" s="43">
        <v>46261</v>
      </c>
      <c r="C609" s="42" t="s">
        <v>58</v>
      </c>
      <c r="D609" s="42" t="s">
        <v>57</v>
      </c>
      <c r="E609" s="42" t="s">
        <v>56</v>
      </c>
      <c r="F609" s="42" t="s">
        <v>44</v>
      </c>
      <c r="G609" s="41">
        <v>70</v>
      </c>
      <c r="H609" s="41"/>
      <c r="I609" s="40">
        <f>IF(B609="","",IF(I608="",MASTER!$C$7,I608)+N(H609)-N(G609))</f>
        <v>8845</v>
      </c>
      <c r="J609" s="39">
        <v>17200</v>
      </c>
      <c r="K609" s="22">
        <f t="shared" si="34"/>
        <v>1204000</v>
      </c>
      <c r="L609" s="38" t="str">
        <f t="shared" si="35"/>
        <v/>
      </c>
      <c r="M609" s="37" t="s">
        <v>420</v>
      </c>
    </row>
    <row r="610" spans="1:13" ht="14" customHeight="1" x14ac:dyDescent="0.35">
      <c r="A610" s="44" t="str">
        <f t="shared" si="33"/>
        <v>August 2026</v>
      </c>
      <c r="B610" s="43">
        <v>46261</v>
      </c>
      <c r="C610" s="42" t="s">
        <v>399</v>
      </c>
      <c r="D610" s="42" t="s">
        <v>411</v>
      </c>
      <c r="E610" s="42" t="s">
        <v>400</v>
      </c>
      <c r="F610" s="42" t="s">
        <v>44</v>
      </c>
      <c r="G610" s="41">
        <v>150</v>
      </c>
      <c r="H610" s="41"/>
      <c r="I610" s="40">
        <f>IF(B610="","",IF(I609="",MASTER!$C$7,I609)+N(H610)-N(G610))</f>
        <v>8695</v>
      </c>
      <c r="J610" s="39">
        <v>17200</v>
      </c>
      <c r="K610" s="22">
        <f t="shared" si="34"/>
        <v>2580000</v>
      </c>
      <c r="L610" s="38" t="str">
        <f t="shared" si="35"/>
        <v/>
      </c>
      <c r="M610" s="37"/>
    </row>
    <row r="611" spans="1:13" ht="14" customHeight="1" x14ac:dyDescent="0.35">
      <c r="A611" s="44" t="str">
        <f t="shared" si="33"/>
        <v>August 2026</v>
      </c>
      <c r="B611" s="43">
        <v>46261</v>
      </c>
      <c r="C611" s="42" t="s">
        <v>69</v>
      </c>
      <c r="D611" s="42" t="s">
        <v>415</v>
      </c>
      <c r="E611" s="42" t="s">
        <v>401</v>
      </c>
      <c r="F611" s="42" t="s">
        <v>44</v>
      </c>
      <c r="G611" s="41">
        <v>105</v>
      </c>
      <c r="H611" s="41"/>
      <c r="I611" s="40">
        <f>IF(B611="","",IF(I610="",MASTER!$C$7,I610)+N(H611)-N(G611))</f>
        <v>8590</v>
      </c>
      <c r="J611" s="39">
        <v>17200</v>
      </c>
      <c r="K611" s="22">
        <f t="shared" si="34"/>
        <v>1806000</v>
      </c>
      <c r="L611" s="38" t="str">
        <f t="shared" si="35"/>
        <v/>
      </c>
      <c r="M611" s="37"/>
    </row>
    <row r="612" spans="1:13" ht="14" customHeight="1" x14ac:dyDescent="0.35">
      <c r="A612" s="44" t="str">
        <f t="shared" si="33"/>
        <v>August 2026</v>
      </c>
      <c r="B612" s="43">
        <v>46261</v>
      </c>
      <c r="C612" s="42" t="s">
        <v>62</v>
      </c>
      <c r="D612" s="42" t="s">
        <v>397</v>
      </c>
      <c r="E612" s="42" t="s">
        <v>63</v>
      </c>
      <c r="F612" s="42" t="s">
        <v>44</v>
      </c>
      <c r="G612" s="41">
        <v>35</v>
      </c>
      <c r="H612" s="41"/>
      <c r="I612" s="40">
        <f>IF(B612="","",IF(I611="",MASTER!$C$7,I611)+N(H612)-N(G612))</f>
        <v>8555</v>
      </c>
      <c r="J612" s="39">
        <v>17200</v>
      </c>
      <c r="K612" s="22">
        <f t="shared" si="34"/>
        <v>602000</v>
      </c>
      <c r="L612" s="38" t="str">
        <f t="shared" si="35"/>
        <v/>
      </c>
      <c r="M612" s="37"/>
    </row>
    <row r="613" spans="1:13" ht="14" customHeight="1" x14ac:dyDescent="0.35">
      <c r="A613" s="44" t="str">
        <f t="shared" ref="A613:A623" si="36">IF(B613="","",TEXT(B613,"MMMM YYYY"))</f>
        <v>August 2026</v>
      </c>
      <c r="B613" s="43">
        <v>46262</v>
      </c>
      <c r="C613" s="42" t="s">
        <v>58</v>
      </c>
      <c r="D613" s="42" t="s">
        <v>57</v>
      </c>
      <c r="E613" s="42" t="s">
        <v>56</v>
      </c>
      <c r="F613" s="42" t="s">
        <v>44</v>
      </c>
      <c r="G613" s="41">
        <v>210</v>
      </c>
      <c r="H613" s="41"/>
      <c r="I613" s="40">
        <f>IF(B613="","",IF(I612="",MASTER!$C$7,I612)+N(H613)-N(G613))</f>
        <v>8345</v>
      </c>
      <c r="J613" s="39">
        <v>17200</v>
      </c>
      <c r="K613" s="22">
        <f t="shared" ref="K613:K623" si="37">IF(OR(B613="",J613=""),"",N(G613)*J613)</f>
        <v>3612000</v>
      </c>
      <c r="L613" s="38" t="str">
        <f t="shared" ref="L613:L623" si="38">IF(OR(B613="",H613="",J613=""),"",N(H613)*J613)</f>
        <v/>
      </c>
      <c r="M613" s="37" t="s">
        <v>420</v>
      </c>
    </row>
    <row r="614" spans="1:13" ht="14" customHeight="1" x14ac:dyDescent="0.35">
      <c r="A614" s="44" t="str">
        <f t="shared" si="36"/>
        <v>August 2026</v>
      </c>
      <c r="B614" s="43">
        <v>46262</v>
      </c>
      <c r="C614" s="42" t="s">
        <v>64</v>
      </c>
      <c r="D614" s="42" t="s">
        <v>413</v>
      </c>
      <c r="E614" s="42" t="s">
        <v>53</v>
      </c>
      <c r="F614" s="42" t="s">
        <v>44</v>
      </c>
      <c r="G614" s="41">
        <v>150</v>
      </c>
      <c r="H614" s="41"/>
      <c r="I614" s="40">
        <f>IF(B614="","",IF(I613="",MASTER!$C$7,I613)+N(H614)-N(G614))</f>
        <v>8195</v>
      </c>
      <c r="J614" s="39">
        <v>17200</v>
      </c>
      <c r="K614" s="22">
        <f t="shared" si="37"/>
        <v>2580000</v>
      </c>
      <c r="L614" s="38" t="str">
        <f t="shared" si="38"/>
        <v/>
      </c>
      <c r="M614" s="37"/>
    </row>
    <row r="615" spans="1:13" ht="14" customHeight="1" x14ac:dyDescent="0.35">
      <c r="A615" s="44" t="str">
        <f t="shared" si="36"/>
        <v>August 2026</v>
      </c>
      <c r="B615" s="43">
        <v>46262</v>
      </c>
      <c r="C615" s="42" t="s">
        <v>93</v>
      </c>
      <c r="D615" s="42" t="s">
        <v>92</v>
      </c>
      <c r="E615" s="42" t="s">
        <v>101</v>
      </c>
      <c r="F615" s="42" t="s">
        <v>44</v>
      </c>
      <c r="G615" s="41">
        <v>65</v>
      </c>
      <c r="H615" s="41"/>
      <c r="I615" s="40">
        <f>IF(B615="","",IF(I614="",MASTER!$C$7,I614)+N(H615)-N(G615))</f>
        <v>8130</v>
      </c>
      <c r="J615" s="39">
        <v>17200</v>
      </c>
      <c r="K615" s="22">
        <f t="shared" si="37"/>
        <v>1118000</v>
      </c>
      <c r="L615" s="38" t="str">
        <f t="shared" si="38"/>
        <v/>
      </c>
      <c r="M615" s="37"/>
    </row>
    <row r="616" spans="1:13" ht="14" customHeight="1" x14ac:dyDescent="0.35">
      <c r="A616" s="44" t="str">
        <f t="shared" si="36"/>
        <v>August 2026</v>
      </c>
      <c r="B616" s="43">
        <v>46262</v>
      </c>
      <c r="C616" s="42" t="s">
        <v>68</v>
      </c>
      <c r="D616" s="42" t="s">
        <v>418</v>
      </c>
      <c r="E616" s="42" t="s">
        <v>56</v>
      </c>
      <c r="F616" s="42" t="s">
        <v>44</v>
      </c>
      <c r="G616" s="41">
        <v>105</v>
      </c>
      <c r="H616" s="41"/>
      <c r="I616" s="40">
        <f>IF(B616="","",IF(I615="",MASTER!$C$7,I615)+N(H616)-N(G616))</f>
        <v>8025</v>
      </c>
      <c r="J616" s="39">
        <v>17200</v>
      </c>
      <c r="K616" s="22">
        <f t="shared" si="37"/>
        <v>1806000</v>
      </c>
      <c r="L616" s="38" t="str">
        <f t="shared" si="38"/>
        <v/>
      </c>
      <c r="M616" s="37" t="s">
        <v>420</v>
      </c>
    </row>
    <row r="617" spans="1:13" ht="14" customHeight="1" x14ac:dyDescent="0.35">
      <c r="A617" s="44" t="str">
        <f t="shared" si="36"/>
        <v>August 2026</v>
      </c>
      <c r="B617" s="43">
        <v>46262</v>
      </c>
      <c r="C617" s="42" t="s">
        <v>69</v>
      </c>
      <c r="D617" s="42" t="s">
        <v>415</v>
      </c>
      <c r="E617" s="42" t="s">
        <v>401</v>
      </c>
      <c r="F617" s="42" t="s">
        <v>44</v>
      </c>
      <c r="G617" s="41">
        <v>70</v>
      </c>
      <c r="H617" s="41"/>
      <c r="I617" s="40">
        <f>IF(B617="","",IF(I616="",MASTER!$C$7,I616)+N(H617)-N(G617))</f>
        <v>7955</v>
      </c>
      <c r="J617" s="39">
        <v>17200</v>
      </c>
      <c r="K617" s="22">
        <f t="shared" si="37"/>
        <v>1204000</v>
      </c>
      <c r="L617" s="38" t="str">
        <f t="shared" si="38"/>
        <v/>
      </c>
      <c r="M617" s="37"/>
    </row>
    <row r="618" spans="1:13" ht="14" customHeight="1" x14ac:dyDescent="0.35">
      <c r="A618" s="44" t="str">
        <f t="shared" si="36"/>
        <v>August 2026</v>
      </c>
      <c r="B618" s="43">
        <v>46263</v>
      </c>
      <c r="C618" s="42" t="s">
        <v>58</v>
      </c>
      <c r="D618" s="42" t="s">
        <v>57</v>
      </c>
      <c r="E618" s="42" t="s">
        <v>56</v>
      </c>
      <c r="F618" s="42" t="s">
        <v>44</v>
      </c>
      <c r="G618" s="41">
        <v>70</v>
      </c>
      <c r="H618" s="41"/>
      <c r="I618" s="40">
        <f>IF(B618="","",IF(I617="",MASTER!$C$7,I617)+N(H618)-N(G618))</f>
        <v>7885</v>
      </c>
      <c r="J618" s="39">
        <v>17200</v>
      </c>
      <c r="K618" s="22">
        <f t="shared" si="37"/>
        <v>1204000</v>
      </c>
      <c r="L618" s="38" t="str">
        <f t="shared" si="38"/>
        <v/>
      </c>
      <c r="M618" s="37" t="s">
        <v>420</v>
      </c>
    </row>
    <row r="619" spans="1:13" ht="14" customHeight="1" x14ac:dyDescent="0.35">
      <c r="A619" s="44" t="str">
        <f t="shared" si="36"/>
        <v>August 2026</v>
      </c>
      <c r="B619" s="43">
        <v>46263</v>
      </c>
      <c r="C619" s="42" t="s">
        <v>64</v>
      </c>
      <c r="D619" s="42" t="s">
        <v>413</v>
      </c>
      <c r="E619" s="42" t="s">
        <v>53</v>
      </c>
      <c r="F619" s="42" t="s">
        <v>44</v>
      </c>
      <c r="G619" s="41">
        <v>105</v>
      </c>
      <c r="H619" s="41"/>
      <c r="I619" s="40">
        <f>IF(B619="","",IF(I618="",MASTER!$C$7,I618)+N(H619)-N(G619))</f>
        <v>7780</v>
      </c>
      <c r="J619" s="39">
        <v>17200</v>
      </c>
      <c r="K619" s="22">
        <f>IF(OR(B619="",J619=""),"",N(G619)*J619)</f>
        <v>1806000</v>
      </c>
      <c r="L619" s="38" t="str">
        <f t="shared" si="38"/>
        <v/>
      </c>
      <c r="M619" s="37"/>
    </row>
    <row r="620" spans="1:13" ht="14" customHeight="1" x14ac:dyDescent="0.35">
      <c r="A620" s="44" t="str">
        <f t="shared" si="36"/>
        <v>August 2026</v>
      </c>
      <c r="B620" s="43">
        <v>46263</v>
      </c>
      <c r="C620" s="42" t="s">
        <v>407</v>
      </c>
      <c r="D620" s="42" t="s">
        <v>408</v>
      </c>
      <c r="E620" s="42" t="s">
        <v>409</v>
      </c>
      <c r="F620" s="42" t="s">
        <v>44</v>
      </c>
      <c r="G620" s="41">
        <v>105</v>
      </c>
      <c r="H620" s="41"/>
      <c r="I620" s="40">
        <f>IF(B620="","",IF(I619="",MASTER!$C$7,I619)+N(H620)-N(G620))</f>
        <v>7675</v>
      </c>
      <c r="J620" s="39">
        <v>17200</v>
      </c>
      <c r="K620" s="22">
        <f t="shared" si="37"/>
        <v>1806000</v>
      </c>
      <c r="L620" s="38" t="str">
        <f t="shared" si="38"/>
        <v/>
      </c>
      <c r="M620" s="37" t="s">
        <v>450</v>
      </c>
    </row>
    <row r="621" spans="1:13" ht="14" customHeight="1" x14ac:dyDescent="0.35">
      <c r="A621" s="44" t="str">
        <f t="shared" si="36"/>
        <v>August 2026</v>
      </c>
      <c r="B621" s="43">
        <v>46264</v>
      </c>
      <c r="C621" s="42" t="s">
        <v>58</v>
      </c>
      <c r="D621" s="42" t="s">
        <v>57</v>
      </c>
      <c r="E621" s="42" t="s">
        <v>56</v>
      </c>
      <c r="F621" s="42" t="s">
        <v>44</v>
      </c>
      <c r="G621" s="41">
        <v>105</v>
      </c>
      <c r="H621" s="41"/>
      <c r="I621" s="40">
        <f>IF(B621="","",IF(I620="",MASTER!$C$7,I620)+N(H621)-N(G621))</f>
        <v>7570</v>
      </c>
      <c r="J621" s="39">
        <v>17200</v>
      </c>
      <c r="K621" s="22">
        <f t="shared" si="37"/>
        <v>1806000</v>
      </c>
      <c r="L621" s="38" t="str">
        <f t="shared" si="38"/>
        <v/>
      </c>
      <c r="M621" s="37" t="s">
        <v>420</v>
      </c>
    </row>
    <row r="622" spans="1:13" ht="14" customHeight="1" x14ac:dyDescent="0.35">
      <c r="A622" s="44" t="str">
        <f t="shared" si="36"/>
        <v>August 2026</v>
      </c>
      <c r="B622" s="43">
        <v>46264</v>
      </c>
      <c r="C622" s="42" t="s">
        <v>69</v>
      </c>
      <c r="D622" s="42" t="s">
        <v>415</v>
      </c>
      <c r="E622" s="42" t="s">
        <v>63</v>
      </c>
      <c r="F622" s="42" t="s">
        <v>44</v>
      </c>
      <c r="G622" s="41">
        <v>35</v>
      </c>
      <c r="H622" s="41"/>
      <c r="I622" s="40">
        <f>IF(B622="","",IF(I621="",MASTER!$C$7,I621)+N(H622)-N(G622))</f>
        <v>7535</v>
      </c>
      <c r="J622" s="39">
        <v>17200</v>
      </c>
      <c r="K622" s="22">
        <f t="shared" si="37"/>
        <v>602000</v>
      </c>
      <c r="L622" s="38" t="str">
        <f t="shared" si="38"/>
        <v/>
      </c>
      <c r="M622" s="37"/>
    </row>
    <row r="623" spans="1:13" ht="14" customHeight="1" x14ac:dyDescent="0.35">
      <c r="A623" s="44" t="str">
        <f t="shared" si="36"/>
        <v>August 2026</v>
      </c>
      <c r="B623" s="43">
        <v>46264</v>
      </c>
      <c r="C623" s="42" t="s">
        <v>62</v>
      </c>
      <c r="D623" s="42" t="s">
        <v>397</v>
      </c>
      <c r="E623" s="42" t="s">
        <v>63</v>
      </c>
      <c r="F623" s="42" t="s">
        <v>44</v>
      </c>
      <c r="G623" s="41">
        <v>35</v>
      </c>
      <c r="H623" s="41"/>
      <c r="I623" s="40">
        <f>IF(B623="","",IF(I622="",MASTER!$C$7,I622)+N(H623)-N(G623))</f>
        <v>7500</v>
      </c>
      <c r="J623" s="39">
        <v>17200</v>
      </c>
      <c r="K623" s="22">
        <f t="shared" si="37"/>
        <v>602000</v>
      </c>
      <c r="L623" s="38" t="str">
        <f t="shared" si="38"/>
        <v/>
      </c>
      <c r="M623" s="37"/>
    </row>
    <row r="624" spans="1:13" ht="14" customHeight="1" x14ac:dyDescent="0.35">
      <c r="A624" s="44" t="str">
        <f t="shared" ref="A624:A626" si="39">IF(B624="","",TEXT(B624,"MMMM YYYY"))</f>
        <v>August 2026</v>
      </c>
      <c r="B624" s="43">
        <v>46264</v>
      </c>
      <c r="C624" s="42" t="s">
        <v>64</v>
      </c>
      <c r="D624" s="42" t="s">
        <v>413</v>
      </c>
      <c r="E624" s="42" t="s">
        <v>424</v>
      </c>
      <c r="F624" s="42" t="s">
        <v>44</v>
      </c>
      <c r="G624" s="41">
        <v>150</v>
      </c>
      <c r="H624" s="41"/>
      <c r="I624" s="40">
        <f>IF(B624="","",IF(I623="",MASTER!$C$7,I623)+N(H624)-N(G624))</f>
        <v>7350</v>
      </c>
      <c r="J624" s="39">
        <v>17200</v>
      </c>
      <c r="K624" s="22">
        <f t="shared" ref="K624:K626" si="40">IF(OR(B624="",J624=""),"",N(G624)*J624)</f>
        <v>2580000</v>
      </c>
      <c r="L624" s="38" t="str">
        <f t="shared" ref="L624:L626" si="41">IF(OR(B624="",H624="",J624=""),"",N(H624)*J624)</f>
        <v/>
      </c>
      <c r="M624" s="37"/>
    </row>
    <row r="625" spans="1:13" ht="14" customHeight="1" x14ac:dyDescent="0.35">
      <c r="A625" s="44" t="str">
        <f t="shared" si="39"/>
        <v>August 2026</v>
      </c>
      <c r="B625" s="43">
        <v>46264</v>
      </c>
      <c r="C625" s="42" t="s">
        <v>58</v>
      </c>
      <c r="D625" s="42" t="s">
        <v>57</v>
      </c>
      <c r="E625" s="42" t="s">
        <v>56</v>
      </c>
      <c r="F625" s="42" t="s">
        <v>44</v>
      </c>
      <c r="G625" s="41">
        <v>35</v>
      </c>
      <c r="H625" s="41"/>
      <c r="I625" s="40">
        <f>IF(B625="","",IF(I624="",MASTER!$C$7,I624)+N(H625)-N(G625))</f>
        <v>7315</v>
      </c>
      <c r="J625" s="39">
        <v>17200</v>
      </c>
      <c r="K625" s="22">
        <f t="shared" si="40"/>
        <v>602000</v>
      </c>
      <c r="L625" s="38" t="str">
        <f t="shared" si="41"/>
        <v/>
      </c>
      <c r="M625" s="37" t="s">
        <v>420</v>
      </c>
    </row>
    <row r="626" spans="1:13" ht="14" customHeight="1" x14ac:dyDescent="0.35">
      <c r="A626" s="44" t="str">
        <f t="shared" si="39"/>
        <v>September 2026</v>
      </c>
      <c r="B626" s="43">
        <v>46266</v>
      </c>
      <c r="C626" s="42" t="s">
        <v>70</v>
      </c>
      <c r="D626" s="42" t="s">
        <v>427</v>
      </c>
      <c r="E626" s="42" t="s">
        <v>56</v>
      </c>
      <c r="F626" s="42" t="s">
        <v>44</v>
      </c>
      <c r="G626" s="41">
        <v>70</v>
      </c>
      <c r="H626" s="41"/>
      <c r="I626" s="40">
        <f>IF(B626="","",IF(I625="",MASTER!$C$7,I625)+N(H626)-N(G626))</f>
        <v>7245</v>
      </c>
      <c r="J626" s="39">
        <v>17200</v>
      </c>
      <c r="K626" s="22">
        <f t="shared" si="40"/>
        <v>1204000</v>
      </c>
      <c r="L626" s="38" t="str">
        <f t="shared" si="41"/>
        <v/>
      </c>
      <c r="M626" s="37" t="s">
        <v>420</v>
      </c>
    </row>
    <row r="627" spans="1:13" ht="14" customHeight="1" x14ac:dyDescent="0.35">
      <c r="A627" s="44" t="str">
        <f t="shared" ref="A627:A630" si="42">IF(B627="","",TEXT(B627,"MMMM YYYY"))</f>
        <v>September 2026</v>
      </c>
      <c r="B627" s="43">
        <v>46266</v>
      </c>
      <c r="C627" s="42" t="s">
        <v>58</v>
      </c>
      <c r="D627" s="42" t="s">
        <v>57</v>
      </c>
      <c r="E627" s="42" t="s">
        <v>65</v>
      </c>
      <c r="F627" s="42" t="s">
        <v>44</v>
      </c>
      <c r="G627" s="41">
        <v>140</v>
      </c>
      <c r="H627" s="41"/>
      <c r="I627" s="40">
        <f>IF(B627="","",IF(I626="",MASTER!$C$7,I626)+N(H627)-N(G627))</f>
        <v>7105</v>
      </c>
      <c r="J627" s="39">
        <v>17200</v>
      </c>
      <c r="K627" s="22">
        <f t="shared" ref="K627:K630" si="43">IF(OR(B627="",J627=""),"",N(G627)*J627)</f>
        <v>2408000</v>
      </c>
      <c r="L627" s="38" t="str">
        <f t="shared" ref="L627:L630" si="44">IF(OR(B627="",H627="",J627=""),"",N(H627)*J627)</f>
        <v/>
      </c>
      <c r="M627" s="37" t="s">
        <v>420</v>
      </c>
    </row>
    <row r="628" spans="1:13" ht="14" customHeight="1" x14ac:dyDescent="0.35">
      <c r="A628" s="44" t="str">
        <f t="shared" si="42"/>
        <v>September 2026</v>
      </c>
      <c r="B628" s="43">
        <v>46267</v>
      </c>
      <c r="C628" s="42" t="s">
        <v>50</v>
      </c>
      <c r="D628" s="42" t="s">
        <v>414</v>
      </c>
      <c r="E628" s="42" t="s">
        <v>433</v>
      </c>
      <c r="F628" s="42" t="s">
        <v>44</v>
      </c>
      <c r="G628" s="41">
        <v>100</v>
      </c>
      <c r="H628" s="41"/>
      <c r="I628" s="40">
        <f>IF(B628="","",IF(I627="",MASTER!$C$7,I627)+N(H628)-N(G628))</f>
        <v>7005</v>
      </c>
      <c r="J628" s="39">
        <v>17200</v>
      </c>
      <c r="K628" s="22">
        <f t="shared" si="43"/>
        <v>1720000</v>
      </c>
      <c r="L628" s="38" t="str">
        <f t="shared" si="44"/>
        <v/>
      </c>
      <c r="M628" s="37"/>
    </row>
    <row r="629" spans="1:13" ht="14" customHeight="1" x14ac:dyDescent="0.35">
      <c r="A629" s="44" t="str">
        <f t="shared" si="42"/>
        <v>September 2026</v>
      </c>
      <c r="B629" s="43">
        <v>46267</v>
      </c>
      <c r="C629" s="42" t="s">
        <v>64</v>
      </c>
      <c r="D629" s="42" t="s">
        <v>413</v>
      </c>
      <c r="E629" s="42" t="s">
        <v>53</v>
      </c>
      <c r="F629" s="42" t="s">
        <v>44</v>
      </c>
      <c r="G629" s="41">
        <v>150</v>
      </c>
      <c r="H629" s="41"/>
      <c r="I629" s="40">
        <f>IF(B629="","",IF(I628="",MASTER!$C$7,I628)+N(H629)-N(G629))</f>
        <v>6855</v>
      </c>
      <c r="J629" s="39">
        <v>17200</v>
      </c>
      <c r="K629" s="22">
        <f t="shared" si="43"/>
        <v>2580000</v>
      </c>
      <c r="L629" s="38" t="str">
        <f t="shared" si="44"/>
        <v/>
      </c>
      <c r="M629" s="37"/>
    </row>
    <row r="630" spans="1:13" ht="14" customHeight="1" x14ac:dyDescent="0.35">
      <c r="A630" s="44" t="str">
        <f t="shared" si="42"/>
        <v>September 2026</v>
      </c>
      <c r="B630" s="43">
        <v>46267</v>
      </c>
      <c r="C630" s="42" t="s">
        <v>407</v>
      </c>
      <c r="D630" s="42" t="s">
        <v>412</v>
      </c>
      <c r="E630" s="42" t="s">
        <v>53</v>
      </c>
      <c r="F630" s="42" t="s">
        <v>44</v>
      </c>
      <c r="G630" s="41">
        <v>150</v>
      </c>
      <c r="H630" s="41"/>
      <c r="I630" s="40">
        <f>IF(B630="","",IF(I629="",MASTER!$C$7,I629)+N(H630)-N(G630))</f>
        <v>6705</v>
      </c>
      <c r="J630" s="39">
        <v>17200</v>
      </c>
      <c r="K630" s="22">
        <f t="shared" si="43"/>
        <v>2580000</v>
      </c>
      <c r="L630" s="38" t="str">
        <f t="shared" si="44"/>
        <v/>
      </c>
      <c r="M630" s="37"/>
    </row>
    <row r="631" spans="1:13" ht="14" customHeight="1" x14ac:dyDescent="0.35">
      <c r="A631" s="44" t="str">
        <f t="shared" ref="A631:A634" si="45">IF(B631="","",TEXT(B631,"MMMM YYYY"))</f>
        <v>September 2026</v>
      </c>
      <c r="B631" s="43">
        <v>46267</v>
      </c>
      <c r="C631" s="42" t="s">
        <v>429</v>
      </c>
      <c r="D631" s="42" t="s">
        <v>427</v>
      </c>
      <c r="E631" s="42" t="s">
        <v>427</v>
      </c>
      <c r="F631" s="42" t="s">
        <v>44</v>
      </c>
      <c r="G631" s="41">
        <v>140</v>
      </c>
      <c r="H631" s="41"/>
      <c r="I631" s="40">
        <f>IF(B631="","",IF(I630="",MASTER!$C$7,I630)+N(H631)-N(G631))</f>
        <v>6565</v>
      </c>
      <c r="J631" s="39">
        <v>17200</v>
      </c>
      <c r="K631" s="22">
        <f t="shared" ref="K631:K634" si="46">IF(OR(B631="",J631=""),"",N(G631)*J631)</f>
        <v>2408000</v>
      </c>
      <c r="L631" s="38" t="str">
        <f t="shared" ref="L631:L634" si="47">IF(OR(B631="",H631="",J631=""),"",N(H631)*J631)</f>
        <v/>
      </c>
      <c r="M631" s="37" t="s">
        <v>431</v>
      </c>
    </row>
    <row r="632" spans="1:13" ht="14" customHeight="1" x14ac:dyDescent="0.35">
      <c r="A632" s="44" t="str">
        <f t="shared" si="45"/>
        <v>September 2026</v>
      </c>
      <c r="B632" s="43">
        <v>46267</v>
      </c>
      <c r="C632" s="42" t="s">
        <v>430</v>
      </c>
      <c r="D632" s="42" t="s">
        <v>57</v>
      </c>
      <c r="E632" s="42" t="s">
        <v>56</v>
      </c>
      <c r="F632" s="42" t="s">
        <v>44</v>
      </c>
      <c r="G632" s="41">
        <v>70</v>
      </c>
      <c r="H632" s="41"/>
      <c r="I632" s="40">
        <f>IF(B632="","",IF(I631="",MASTER!$C$7,I631)+N(H632)-N(G632))</f>
        <v>6495</v>
      </c>
      <c r="J632" s="39">
        <v>17200</v>
      </c>
      <c r="K632" s="22">
        <f t="shared" si="46"/>
        <v>1204000</v>
      </c>
      <c r="L632" s="38" t="str">
        <f t="shared" si="47"/>
        <v/>
      </c>
      <c r="M632" s="37" t="s">
        <v>432</v>
      </c>
    </row>
    <row r="633" spans="1:13" ht="14" customHeight="1" x14ac:dyDescent="0.35">
      <c r="A633" s="44" t="str">
        <f t="shared" si="45"/>
        <v>September 2026</v>
      </c>
      <c r="B633" s="43">
        <v>46267</v>
      </c>
      <c r="C633" s="42" t="s">
        <v>70</v>
      </c>
      <c r="D633" s="42" t="s">
        <v>427</v>
      </c>
      <c r="E633" s="42" t="s">
        <v>427</v>
      </c>
      <c r="F633" s="42" t="s">
        <v>44</v>
      </c>
      <c r="G633" s="41">
        <v>70</v>
      </c>
      <c r="H633" s="41"/>
      <c r="I633" s="40">
        <f>IF(B633="","",IF(I632="",MASTER!$C$7,I632)+N(H633)-N(G633))</f>
        <v>6425</v>
      </c>
      <c r="J633" s="39">
        <v>17200</v>
      </c>
      <c r="K633" s="22">
        <f t="shared" si="46"/>
        <v>1204000</v>
      </c>
      <c r="L633" s="38" t="str">
        <f t="shared" si="47"/>
        <v/>
      </c>
      <c r="M633" s="37" t="s">
        <v>420</v>
      </c>
    </row>
    <row r="634" spans="1:13" ht="14" customHeight="1" x14ac:dyDescent="0.35">
      <c r="A634" s="44" t="str">
        <f t="shared" si="45"/>
        <v>September 2026</v>
      </c>
      <c r="B634" s="43">
        <v>46267</v>
      </c>
      <c r="C634" s="42" t="s">
        <v>62</v>
      </c>
      <c r="D634" s="42" t="s">
        <v>397</v>
      </c>
      <c r="E634" s="42" t="s">
        <v>63</v>
      </c>
      <c r="F634" s="42" t="s">
        <v>44</v>
      </c>
      <c r="G634" s="41">
        <v>35</v>
      </c>
      <c r="H634" s="41"/>
      <c r="I634" s="40">
        <f>IF(B634="","",IF(I633="",MASTER!$C$7,I633)+N(H634)-N(G634))</f>
        <v>6390</v>
      </c>
      <c r="J634" s="39">
        <v>17200</v>
      </c>
      <c r="K634" s="22">
        <f t="shared" si="46"/>
        <v>602000</v>
      </c>
      <c r="L634" s="38" t="str">
        <f t="shared" si="47"/>
        <v/>
      </c>
      <c r="M634" s="37"/>
    </row>
    <row r="635" spans="1:13" ht="14" customHeight="1" x14ac:dyDescent="0.35">
      <c r="A635" s="44" t="str">
        <f t="shared" ref="A635:A643" si="48">IF(B635="","",TEXT(B635,"MMMM YYYY"))</f>
        <v>September 2026</v>
      </c>
      <c r="B635" s="43">
        <v>46268</v>
      </c>
      <c r="C635" s="42" t="s">
        <v>77</v>
      </c>
      <c r="D635" s="42" t="s">
        <v>427</v>
      </c>
      <c r="E635" s="42" t="s">
        <v>65</v>
      </c>
      <c r="F635" s="42" t="s">
        <v>44</v>
      </c>
      <c r="G635" s="41">
        <v>140</v>
      </c>
      <c r="H635" s="41"/>
      <c r="I635" s="40">
        <f>IF(B635="","",IF(I634="",MASTER!$C$7,I634)+N(H635)-N(G635))</f>
        <v>6250</v>
      </c>
      <c r="J635" s="39">
        <v>17200</v>
      </c>
      <c r="K635" s="22">
        <f t="shared" ref="K635:K643" si="49">IF(OR(B635="",J635=""),"",N(G635)*J635)</f>
        <v>2408000</v>
      </c>
      <c r="L635" s="38" t="str">
        <f t="shared" ref="L635:L643" si="50">IF(OR(B635="",H635="",J635=""),"",N(H635)*J635)</f>
        <v/>
      </c>
      <c r="M635" s="37" t="s">
        <v>420</v>
      </c>
    </row>
    <row r="636" spans="1:13" ht="14" customHeight="1" x14ac:dyDescent="0.35">
      <c r="A636" s="44" t="str">
        <f t="shared" si="48"/>
        <v>September 2026</v>
      </c>
      <c r="B636" s="43">
        <v>46268</v>
      </c>
      <c r="C636" s="42" t="s">
        <v>58</v>
      </c>
      <c r="D636" s="42" t="s">
        <v>57</v>
      </c>
      <c r="E636" s="42" t="s">
        <v>56</v>
      </c>
      <c r="F636" s="42" t="s">
        <v>44</v>
      </c>
      <c r="G636" s="41">
        <v>35</v>
      </c>
      <c r="H636" s="41"/>
      <c r="I636" s="40">
        <f>IF(B636="","",IF(I635="",MASTER!$C$7,I635)+N(H636)-N(G636))</f>
        <v>6215</v>
      </c>
      <c r="J636" s="39">
        <v>17200</v>
      </c>
      <c r="K636" s="22">
        <f t="shared" si="49"/>
        <v>602000</v>
      </c>
      <c r="L636" s="38" t="str">
        <f t="shared" si="50"/>
        <v/>
      </c>
      <c r="M636" s="37" t="s">
        <v>420</v>
      </c>
    </row>
    <row r="637" spans="1:13" ht="14" customHeight="1" x14ac:dyDescent="0.35">
      <c r="A637" s="44" t="str">
        <f t="shared" si="48"/>
        <v>September 2026</v>
      </c>
      <c r="B637" s="43">
        <v>46269</v>
      </c>
      <c r="C637" s="42" t="s">
        <v>444</v>
      </c>
      <c r="D637" s="42" t="s">
        <v>395</v>
      </c>
      <c r="E637" s="42" t="s">
        <v>449</v>
      </c>
      <c r="F637" s="42" t="s">
        <v>44</v>
      </c>
      <c r="G637" s="41">
        <v>210</v>
      </c>
      <c r="H637" s="41"/>
      <c r="I637" s="40">
        <f>IF(B637="","",IF(I636="",MASTER!$C$7,I636)+N(H637)-N(G637))</f>
        <v>6005</v>
      </c>
      <c r="J637" s="39">
        <v>17200</v>
      </c>
      <c r="K637" s="22">
        <f t="shared" si="49"/>
        <v>3612000</v>
      </c>
      <c r="L637" s="38" t="str">
        <f t="shared" si="50"/>
        <v/>
      </c>
      <c r="M637" s="37" t="s">
        <v>395</v>
      </c>
    </row>
    <row r="638" spans="1:13" ht="14" customHeight="1" x14ac:dyDescent="0.35">
      <c r="A638" s="44" t="str">
        <f t="shared" si="48"/>
        <v>September 2026</v>
      </c>
      <c r="B638" s="43">
        <v>46269</v>
      </c>
      <c r="C638" s="42" t="s">
        <v>445</v>
      </c>
      <c r="D638" s="42" t="s">
        <v>447</v>
      </c>
      <c r="E638" s="42" t="s">
        <v>394</v>
      </c>
      <c r="F638" s="42" t="s">
        <v>44</v>
      </c>
      <c r="G638" s="41">
        <v>35</v>
      </c>
      <c r="H638" s="41"/>
      <c r="I638" s="40">
        <f>IF(B638="","",IF(I637="",MASTER!$C$7,I637)+N(H638)-N(G638))</f>
        <v>5970</v>
      </c>
      <c r="J638" s="39">
        <v>17200</v>
      </c>
      <c r="K638" s="22">
        <f t="shared" si="49"/>
        <v>602000</v>
      </c>
      <c r="L638" s="38" t="s">
        <v>443</v>
      </c>
      <c r="M638" s="37" t="s">
        <v>394</v>
      </c>
    </row>
    <row r="639" spans="1:13" ht="14" customHeight="1" x14ac:dyDescent="0.35">
      <c r="A639" s="44" t="str">
        <f t="shared" si="48"/>
        <v>September 2026</v>
      </c>
      <c r="B639" s="43">
        <v>46269</v>
      </c>
      <c r="C639" s="42" t="s">
        <v>446</v>
      </c>
      <c r="D639" s="42" t="s">
        <v>448</v>
      </c>
      <c r="E639" s="42" t="s">
        <v>394</v>
      </c>
      <c r="F639" s="42" t="s">
        <v>44</v>
      </c>
      <c r="G639" s="41">
        <v>35</v>
      </c>
      <c r="H639" s="41"/>
      <c r="I639" s="40">
        <f>IF(B639="","",IF(I638="",MASTER!$C$7,I638)+N(H639)-N(G639))</f>
        <v>5935</v>
      </c>
      <c r="J639" s="39">
        <v>17200</v>
      </c>
      <c r="K639" s="22">
        <f t="shared" si="49"/>
        <v>602000</v>
      </c>
      <c r="L639" s="38" t="str">
        <f t="shared" si="50"/>
        <v/>
      </c>
      <c r="M639" s="37" t="s">
        <v>394</v>
      </c>
    </row>
    <row r="640" spans="1:13" ht="14" customHeight="1" x14ac:dyDescent="0.35">
      <c r="A640" s="44" t="str">
        <f t="shared" si="48"/>
        <v>September 2026</v>
      </c>
      <c r="B640" s="43">
        <v>46269</v>
      </c>
      <c r="C640" s="42" t="s">
        <v>70</v>
      </c>
      <c r="D640" s="42" t="s">
        <v>427</v>
      </c>
      <c r="E640" s="42" t="s">
        <v>65</v>
      </c>
      <c r="F640" s="42" t="s">
        <v>44</v>
      </c>
      <c r="G640" s="41">
        <v>70</v>
      </c>
      <c r="H640" s="41"/>
      <c r="I640" s="40">
        <f>IF(B640="","",IF(I639="",MASTER!$C$7,I639)+N(H640)-N(G640))</f>
        <v>5865</v>
      </c>
      <c r="J640" s="39">
        <v>17200</v>
      </c>
      <c r="K640" s="22">
        <f t="shared" si="49"/>
        <v>1204000</v>
      </c>
      <c r="L640" s="38" t="str">
        <f t="shared" si="50"/>
        <v/>
      </c>
      <c r="M640" s="37" t="s">
        <v>420</v>
      </c>
    </row>
    <row r="641" spans="1:13" ht="14" customHeight="1" x14ac:dyDescent="0.35">
      <c r="A641" s="44" t="str">
        <f t="shared" si="48"/>
        <v>September 2026</v>
      </c>
      <c r="B641" s="43">
        <v>46270</v>
      </c>
      <c r="C641" s="42" t="s">
        <v>64</v>
      </c>
      <c r="D641" s="42" t="s">
        <v>413</v>
      </c>
      <c r="E641" s="42" t="s">
        <v>53</v>
      </c>
      <c r="F641" s="42" t="s">
        <v>44</v>
      </c>
      <c r="G641" s="41">
        <v>150</v>
      </c>
      <c r="H641" s="41"/>
      <c r="I641" s="40">
        <f>IF(B641="","",IF(I640="",MASTER!$C$7,I640)+N(H641)-N(G641))</f>
        <v>5715</v>
      </c>
      <c r="J641" s="39">
        <v>17200</v>
      </c>
      <c r="K641" s="22">
        <f t="shared" si="49"/>
        <v>2580000</v>
      </c>
      <c r="L641" s="38" t="str">
        <f t="shared" si="50"/>
        <v/>
      </c>
      <c r="M641" s="37"/>
    </row>
    <row r="642" spans="1:13" ht="14" customHeight="1" x14ac:dyDescent="0.35">
      <c r="A642" s="44" t="str">
        <f t="shared" si="48"/>
        <v>September 2026</v>
      </c>
      <c r="B642" s="43">
        <v>46270</v>
      </c>
      <c r="C642" s="42" t="s">
        <v>77</v>
      </c>
      <c r="D642" s="42" t="s">
        <v>427</v>
      </c>
      <c r="E642" s="42" t="s">
        <v>65</v>
      </c>
      <c r="F642" s="42" t="s">
        <v>44</v>
      </c>
      <c r="G642" s="41">
        <v>105</v>
      </c>
      <c r="H642" s="41"/>
      <c r="I642" s="40">
        <f>IF(B642="","",IF(I641="",MASTER!$C$7,I641)+N(H642)-N(G642))</f>
        <v>5610</v>
      </c>
      <c r="J642" s="39">
        <v>17200</v>
      </c>
      <c r="K642" s="22">
        <f t="shared" si="49"/>
        <v>1806000</v>
      </c>
      <c r="L642" s="38" t="str">
        <f t="shared" si="50"/>
        <v/>
      </c>
      <c r="M642" s="37" t="s">
        <v>420</v>
      </c>
    </row>
    <row r="643" spans="1:13" ht="14" customHeight="1" x14ac:dyDescent="0.35">
      <c r="A643" s="44" t="str">
        <f t="shared" si="48"/>
        <v>September 2026</v>
      </c>
      <c r="B643" s="43">
        <v>46270</v>
      </c>
      <c r="C643" s="42" t="s">
        <v>62</v>
      </c>
      <c r="D643" s="42" t="s">
        <v>97</v>
      </c>
      <c r="E643" s="42" t="s">
        <v>63</v>
      </c>
      <c r="F643" s="42" t="s">
        <v>44</v>
      </c>
      <c r="G643" s="41">
        <v>35</v>
      </c>
      <c r="H643" s="41"/>
      <c r="I643" s="40">
        <f>IF(B643="","",IF(I642="",MASTER!$C$7,I642)+N(H643)-N(G643))</f>
        <v>5575</v>
      </c>
      <c r="J643" s="39">
        <v>17200</v>
      </c>
      <c r="K643" s="22">
        <f t="shared" si="49"/>
        <v>602000</v>
      </c>
      <c r="L643" s="38" t="str">
        <f t="shared" si="50"/>
        <v/>
      </c>
      <c r="M643" s="37"/>
    </row>
    <row r="644" spans="1:13" ht="14" customHeight="1" x14ac:dyDescent="0.35">
      <c r="A644" s="44" t="str">
        <f t="shared" ref="A644:A652" si="51">IF(B644="","",TEXT(B644,"MMMM YYYY"))</f>
        <v>September 2026</v>
      </c>
      <c r="B644" s="43">
        <v>46271</v>
      </c>
      <c r="C644" s="51" t="s">
        <v>451</v>
      </c>
      <c r="D644" s="51" t="s">
        <v>427</v>
      </c>
      <c r="E644" s="51" t="s">
        <v>65</v>
      </c>
      <c r="F644" s="42" t="s">
        <v>44</v>
      </c>
      <c r="G644" s="41">
        <v>70</v>
      </c>
      <c r="H644" s="41"/>
      <c r="I644" s="40">
        <f>IF(B644="","",IF(I643="",MASTER!$C$7,I643)+N(H644)-N(G644))</f>
        <v>5505</v>
      </c>
      <c r="J644" s="39">
        <v>17200</v>
      </c>
      <c r="K644" s="22">
        <f t="shared" ref="K644:K652" si="52">IF(OR(B644="",J644=""),"",N(G644)*J644)</f>
        <v>1204000</v>
      </c>
      <c r="L644" s="38" t="str">
        <f t="shared" ref="L644:L652" si="53">IF(OR(B644="",H644="",J644=""),"",N(H644)*J644)</f>
        <v/>
      </c>
      <c r="M644" s="52" t="s">
        <v>420</v>
      </c>
    </row>
    <row r="645" spans="1:13" ht="14" customHeight="1" x14ac:dyDescent="0.35">
      <c r="A645" s="44" t="str">
        <f t="shared" si="51"/>
        <v>September 2026</v>
      </c>
      <c r="B645" s="43">
        <v>46271</v>
      </c>
      <c r="C645" s="51" t="s">
        <v>452</v>
      </c>
      <c r="D645" s="51" t="s">
        <v>412</v>
      </c>
      <c r="E645" s="51" t="s">
        <v>53</v>
      </c>
      <c r="F645" s="42" t="s">
        <v>44</v>
      </c>
      <c r="G645" s="41">
        <v>150</v>
      </c>
      <c r="H645" s="41"/>
      <c r="I645" s="40">
        <f>IF(B645="","",IF(I644="",MASTER!$C$7,I644)+N(H645)-N(G645))</f>
        <v>5355</v>
      </c>
      <c r="J645" s="39">
        <v>17200</v>
      </c>
      <c r="K645" s="22">
        <f t="shared" si="52"/>
        <v>2580000</v>
      </c>
      <c r="L645" s="38" t="str">
        <f t="shared" si="53"/>
        <v/>
      </c>
      <c r="M645" s="37"/>
    </row>
    <row r="646" spans="1:13" ht="14" customHeight="1" x14ac:dyDescent="0.35">
      <c r="A646" s="44" t="str">
        <f t="shared" si="51"/>
        <v>September 2026</v>
      </c>
      <c r="B646" s="43">
        <v>46271</v>
      </c>
      <c r="C646" s="51" t="s">
        <v>430</v>
      </c>
      <c r="D646" s="51" t="s">
        <v>57</v>
      </c>
      <c r="E646" s="51" t="s">
        <v>56</v>
      </c>
      <c r="F646" s="42" t="s">
        <v>44</v>
      </c>
      <c r="G646" s="41">
        <v>70</v>
      </c>
      <c r="H646" s="41"/>
      <c r="I646" s="40">
        <f>IF(B646="","",IF(I645="",MASTER!$C$7,I645)+N(H646)-N(G646))</f>
        <v>5285</v>
      </c>
      <c r="J646" s="39">
        <v>17200</v>
      </c>
      <c r="K646" s="22">
        <f t="shared" si="52"/>
        <v>1204000</v>
      </c>
      <c r="L646" s="38" t="str">
        <f t="shared" si="53"/>
        <v/>
      </c>
      <c r="M646" s="52" t="s">
        <v>420</v>
      </c>
    </row>
    <row r="647" spans="1:13" ht="14" customHeight="1" x14ac:dyDescent="0.35">
      <c r="A647" s="44" t="str">
        <f t="shared" si="51"/>
        <v>September 2026</v>
      </c>
      <c r="B647" s="43">
        <v>46271</v>
      </c>
      <c r="C647" s="51" t="s">
        <v>77</v>
      </c>
      <c r="D647" s="51" t="s">
        <v>427</v>
      </c>
      <c r="E647" s="51" t="s">
        <v>65</v>
      </c>
      <c r="F647" s="42" t="s">
        <v>44</v>
      </c>
      <c r="G647" s="41">
        <v>140</v>
      </c>
      <c r="H647" s="41"/>
      <c r="I647" s="40">
        <f>IF(B647="","",IF(I646="",MASTER!$C$7,I646)+N(H647)-N(G647))</f>
        <v>5145</v>
      </c>
      <c r="J647" s="39">
        <v>17200</v>
      </c>
      <c r="K647" s="22">
        <f t="shared" si="52"/>
        <v>2408000</v>
      </c>
      <c r="L647" s="38" t="str">
        <f t="shared" si="53"/>
        <v/>
      </c>
      <c r="M647" s="52" t="s">
        <v>453</v>
      </c>
    </row>
    <row r="648" spans="1:13" ht="14" customHeight="1" x14ac:dyDescent="0.35">
      <c r="A648" s="44" t="str">
        <f t="shared" si="51"/>
        <v>September 2026</v>
      </c>
      <c r="B648" s="43">
        <v>46273</v>
      </c>
      <c r="C648" s="42" t="s">
        <v>93</v>
      </c>
      <c r="D648" s="42" t="s">
        <v>57</v>
      </c>
      <c r="E648" s="42" t="s">
        <v>56</v>
      </c>
      <c r="F648" s="42" t="s">
        <v>44</v>
      </c>
      <c r="G648" s="41">
        <v>210</v>
      </c>
      <c r="H648" s="41"/>
      <c r="I648" s="40">
        <f>IF(B648="","",IF(I647="",MASTER!$C$7,I647)+N(H648)-N(G648))</f>
        <v>4935</v>
      </c>
      <c r="J648" s="39">
        <v>17200</v>
      </c>
      <c r="K648" s="22">
        <f t="shared" si="52"/>
        <v>3612000</v>
      </c>
      <c r="L648" s="38" t="str">
        <f t="shared" si="53"/>
        <v/>
      </c>
      <c r="M648" s="37"/>
    </row>
    <row r="649" spans="1:13" ht="14" customHeight="1" x14ac:dyDescent="0.35">
      <c r="A649" s="44" t="str">
        <f t="shared" si="51"/>
        <v>September 2026</v>
      </c>
      <c r="B649" s="43">
        <v>46273</v>
      </c>
      <c r="C649" s="42" t="s">
        <v>64</v>
      </c>
      <c r="D649" s="42" t="s">
        <v>413</v>
      </c>
      <c r="E649" s="42" t="s">
        <v>53</v>
      </c>
      <c r="F649" s="42" t="s">
        <v>44</v>
      </c>
      <c r="G649" s="41">
        <v>105</v>
      </c>
      <c r="H649" s="41"/>
      <c r="I649" s="40">
        <f>IF(B649="","",IF(I648="",MASTER!$C$7,I648)+N(H649)-N(G649))</f>
        <v>4830</v>
      </c>
      <c r="J649" s="39">
        <v>17200</v>
      </c>
      <c r="K649" s="22">
        <f t="shared" si="52"/>
        <v>1806000</v>
      </c>
      <c r="L649" s="38" t="str">
        <f t="shared" si="53"/>
        <v/>
      </c>
      <c r="M649" s="37"/>
    </row>
    <row r="650" spans="1:13" ht="14" customHeight="1" x14ac:dyDescent="0.35">
      <c r="A650" s="44" t="str">
        <f t="shared" si="51"/>
        <v>September 2026</v>
      </c>
      <c r="B650" s="43">
        <v>46273</v>
      </c>
      <c r="C650" s="42" t="s">
        <v>444</v>
      </c>
      <c r="D650" s="42" t="s">
        <v>395</v>
      </c>
      <c r="E650" s="42" t="s">
        <v>395</v>
      </c>
      <c r="F650" s="42" t="s">
        <v>44</v>
      </c>
      <c r="G650" s="41">
        <v>140</v>
      </c>
      <c r="H650" s="41"/>
      <c r="I650" s="40">
        <f>IF(B650="","",IF(I649="",MASTER!$C$7,I649)+N(H650)-N(G650))</f>
        <v>4690</v>
      </c>
      <c r="J650" s="39">
        <v>17200</v>
      </c>
      <c r="K650" s="22">
        <f t="shared" si="52"/>
        <v>2408000</v>
      </c>
      <c r="L650" s="38" t="str">
        <f t="shared" si="53"/>
        <v/>
      </c>
      <c r="M650" s="37" t="s">
        <v>395</v>
      </c>
    </row>
    <row r="651" spans="1:13" ht="14" customHeight="1" x14ac:dyDescent="0.35">
      <c r="A651" s="44" t="str">
        <f t="shared" si="51"/>
        <v>September 2026</v>
      </c>
      <c r="B651" s="43">
        <v>46273</v>
      </c>
      <c r="C651" s="42" t="s">
        <v>106</v>
      </c>
      <c r="D651" s="42" t="s">
        <v>92</v>
      </c>
      <c r="E651" s="42" t="s">
        <v>101</v>
      </c>
      <c r="F651" s="42" t="s">
        <v>44</v>
      </c>
      <c r="G651" s="41">
        <v>65</v>
      </c>
      <c r="H651" s="41"/>
      <c r="I651" s="40">
        <f>IF(B651="","",IF(I650="",MASTER!$C$7,I650)+N(H651)-N(G651))</f>
        <v>4625</v>
      </c>
      <c r="J651" s="39">
        <v>17200</v>
      </c>
      <c r="K651" s="22">
        <f t="shared" si="52"/>
        <v>1118000</v>
      </c>
      <c r="L651" s="38" t="str">
        <f t="shared" si="53"/>
        <v/>
      </c>
      <c r="M651" s="37"/>
    </row>
    <row r="652" spans="1:13" ht="14" customHeight="1" x14ac:dyDescent="0.35">
      <c r="A652" s="44" t="str">
        <f t="shared" si="51"/>
        <v>September 2026</v>
      </c>
      <c r="B652" s="43">
        <v>46273</v>
      </c>
      <c r="C652" s="42" t="s">
        <v>106</v>
      </c>
      <c r="D652" s="42" t="s">
        <v>458</v>
      </c>
      <c r="E652" s="42" t="s">
        <v>101</v>
      </c>
      <c r="F652" s="42" t="s">
        <v>44</v>
      </c>
      <c r="G652" s="41">
        <v>350</v>
      </c>
      <c r="H652" s="41"/>
      <c r="I652" s="40">
        <f>IF(B652="","",IF(I651="",MASTER!$C$7,I651)+N(H652)-N(G652))</f>
        <v>4275</v>
      </c>
      <c r="J652" s="39">
        <v>17200</v>
      </c>
      <c r="K652" s="22">
        <f t="shared" si="52"/>
        <v>6020000</v>
      </c>
      <c r="L652" s="38" t="str">
        <f t="shared" si="53"/>
        <v/>
      </c>
      <c r="M652" s="37"/>
    </row>
    <row r="653" spans="1:13" ht="14" customHeight="1" x14ac:dyDescent="0.35">
      <c r="A653" s="44" t="str">
        <f t="shared" ref="A653:A661" si="54">IF(B653="","",TEXT(B653,"MMMM YYYY"))</f>
        <v>September 2026</v>
      </c>
      <c r="B653" s="43">
        <v>46274</v>
      </c>
      <c r="C653" s="42" t="s">
        <v>50</v>
      </c>
      <c r="D653" s="42" t="s">
        <v>414</v>
      </c>
      <c r="E653" s="42" t="s">
        <v>53</v>
      </c>
      <c r="F653" s="42" t="s">
        <v>44</v>
      </c>
      <c r="G653" s="41">
        <v>250</v>
      </c>
      <c r="H653" s="41"/>
      <c r="I653" s="40">
        <f>IF(B653="","",IF(I652="",MASTER!$C$7,I652)+N(H653)-N(G653))</f>
        <v>4025</v>
      </c>
      <c r="J653" s="39">
        <v>17200</v>
      </c>
      <c r="K653" s="22">
        <f t="shared" ref="K653:K661" si="55">IF(OR(B653="",J653=""),"",N(G653)*J653)</f>
        <v>4300000</v>
      </c>
      <c r="L653" s="38" t="str">
        <f t="shared" ref="L653:L661" si="56">IF(OR(B653="",H653="",J653=""),"",N(H653)*J653)</f>
        <v/>
      </c>
      <c r="M653" s="37"/>
    </row>
    <row r="654" spans="1:13" ht="14" customHeight="1" x14ac:dyDescent="0.35">
      <c r="A654" s="44" t="str">
        <f t="shared" si="54"/>
        <v>September 2026</v>
      </c>
      <c r="B654" s="43">
        <v>46274</v>
      </c>
      <c r="C654" s="42" t="s">
        <v>70</v>
      </c>
      <c r="D654" s="42" t="s">
        <v>427</v>
      </c>
      <c r="E654" s="42" t="s">
        <v>65</v>
      </c>
      <c r="F654" s="42" t="s">
        <v>44</v>
      </c>
      <c r="G654" s="41">
        <v>140</v>
      </c>
      <c r="H654" s="41"/>
      <c r="I654" s="40">
        <f>IF(B654="","",IF(I653="",MASTER!$C$7,I653)+N(H654)-N(G654))</f>
        <v>3885</v>
      </c>
      <c r="J654" s="39">
        <v>17200</v>
      </c>
      <c r="K654" s="22">
        <f t="shared" si="55"/>
        <v>2408000</v>
      </c>
      <c r="L654" s="38" t="str">
        <f t="shared" si="56"/>
        <v/>
      </c>
      <c r="M654" s="37"/>
    </row>
    <row r="655" spans="1:13" ht="14" customHeight="1" x14ac:dyDescent="0.35">
      <c r="A655" s="44" t="str">
        <f t="shared" si="54"/>
        <v>September 2026</v>
      </c>
      <c r="B655" s="43">
        <v>46274</v>
      </c>
      <c r="C655" s="42" t="s">
        <v>407</v>
      </c>
      <c r="D655" s="42" t="s">
        <v>412</v>
      </c>
      <c r="E655" s="42" t="s">
        <v>53</v>
      </c>
      <c r="F655" s="42" t="s">
        <v>44</v>
      </c>
      <c r="G655" s="41">
        <v>150</v>
      </c>
      <c r="H655" s="41"/>
      <c r="I655" s="40">
        <f>IF(B655="","",IF(I654="",MASTER!$C$7,I654)+N(H655)-N(G655))</f>
        <v>3735</v>
      </c>
      <c r="J655" s="39">
        <v>17200</v>
      </c>
      <c r="K655" s="22">
        <f t="shared" si="55"/>
        <v>2580000</v>
      </c>
      <c r="L655" s="38" t="str">
        <f t="shared" si="56"/>
        <v/>
      </c>
      <c r="M655" s="37"/>
    </row>
    <row r="656" spans="1:13" ht="14" customHeight="1" x14ac:dyDescent="0.35">
      <c r="A656" s="44" t="str">
        <f t="shared" si="54"/>
        <v>September 2026</v>
      </c>
      <c r="B656" s="43">
        <v>46274</v>
      </c>
      <c r="C656" s="42" t="s">
        <v>62</v>
      </c>
      <c r="D656" s="42" t="s">
        <v>97</v>
      </c>
      <c r="E656" s="42" t="s">
        <v>63</v>
      </c>
      <c r="F656" s="42" t="s">
        <v>44</v>
      </c>
      <c r="G656" s="41">
        <v>35</v>
      </c>
      <c r="H656" s="41"/>
      <c r="I656" s="40">
        <f>IF(B656="","",IF(I655="",MASTER!$C$7,I655)+N(H656)-N(G656))</f>
        <v>3700</v>
      </c>
      <c r="J656" s="39">
        <v>17200</v>
      </c>
      <c r="K656" s="22">
        <f t="shared" si="55"/>
        <v>602000</v>
      </c>
      <c r="L656" s="38" t="str">
        <f t="shared" si="56"/>
        <v/>
      </c>
      <c r="M656" s="37"/>
    </row>
    <row r="657" spans="1:13" ht="14" customHeight="1" x14ac:dyDescent="0.35">
      <c r="A657" s="44" t="str">
        <f t="shared" si="54"/>
        <v>September 2026</v>
      </c>
      <c r="B657" s="43">
        <v>46275</v>
      </c>
      <c r="C657" s="42" t="s">
        <v>106</v>
      </c>
      <c r="D657" s="42" t="s">
        <v>458</v>
      </c>
      <c r="E657" s="42" t="s">
        <v>65</v>
      </c>
      <c r="F657" s="42" t="s">
        <v>44</v>
      </c>
      <c r="G657" s="41">
        <v>350</v>
      </c>
      <c r="H657" s="41"/>
      <c r="I657" s="40">
        <f>IF(B657="","",IF(I656="",MASTER!$C$7,I656)+N(H657)-N(G657))</f>
        <v>3350</v>
      </c>
      <c r="J657" s="39">
        <v>17200</v>
      </c>
      <c r="K657" s="22">
        <f t="shared" si="55"/>
        <v>6020000</v>
      </c>
      <c r="L657" s="38" t="str">
        <f t="shared" si="56"/>
        <v/>
      </c>
      <c r="M657" s="37"/>
    </row>
    <row r="658" spans="1:13" ht="14" customHeight="1" x14ac:dyDescent="0.35">
      <c r="A658" s="44" t="str">
        <f t="shared" si="54"/>
        <v>September 2026</v>
      </c>
      <c r="B658" s="43">
        <v>46275</v>
      </c>
      <c r="C658" s="42" t="s">
        <v>64</v>
      </c>
      <c r="D658" s="42" t="s">
        <v>413</v>
      </c>
      <c r="E658" s="42" t="s">
        <v>53</v>
      </c>
      <c r="F658" s="42" t="s">
        <v>44</v>
      </c>
      <c r="G658" s="41">
        <v>150</v>
      </c>
      <c r="H658" s="41"/>
      <c r="I658" s="40">
        <f>IF(B658="","",IF(I657="",MASTER!$C$7,I657)+N(H658)-N(G658))</f>
        <v>3200</v>
      </c>
      <c r="J658" s="39">
        <v>17200</v>
      </c>
      <c r="K658" s="22">
        <f t="shared" si="55"/>
        <v>2580000</v>
      </c>
      <c r="L658" s="38" t="str">
        <f t="shared" si="56"/>
        <v/>
      </c>
      <c r="M658" s="37" t="s">
        <v>420</v>
      </c>
    </row>
    <row r="659" spans="1:13" ht="14" customHeight="1" x14ac:dyDescent="0.35">
      <c r="A659" s="44" t="str">
        <f t="shared" si="54"/>
        <v>September 2026</v>
      </c>
      <c r="B659" s="43">
        <v>46275</v>
      </c>
      <c r="C659" s="42" t="s">
        <v>69</v>
      </c>
      <c r="D659" s="42" t="s">
        <v>415</v>
      </c>
      <c r="E659" s="42" t="s">
        <v>63</v>
      </c>
      <c r="F659" s="42" t="s">
        <v>44</v>
      </c>
      <c r="G659" s="41">
        <v>105</v>
      </c>
      <c r="H659" s="41"/>
      <c r="I659" s="40">
        <f>IF(B659="","",IF(I658="",MASTER!$C$7,I658)+N(H659)-N(G659))</f>
        <v>3095</v>
      </c>
      <c r="J659" s="39">
        <v>17200</v>
      </c>
      <c r="K659" s="22">
        <f t="shared" si="55"/>
        <v>1806000</v>
      </c>
      <c r="L659" s="38" t="str">
        <f t="shared" si="56"/>
        <v/>
      </c>
      <c r="M659" s="37"/>
    </row>
    <row r="660" spans="1:13" ht="14" customHeight="1" x14ac:dyDescent="0.35">
      <c r="A660" s="44" t="str">
        <f t="shared" si="54"/>
        <v>September 2026</v>
      </c>
      <c r="B660" s="43">
        <v>46275</v>
      </c>
      <c r="C660" s="42" t="s">
        <v>83</v>
      </c>
      <c r="D660" s="42" t="s">
        <v>98</v>
      </c>
      <c r="E660" s="42" t="s">
        <v>53</v>
      </c>
      <c r="F660" s="42" t="s">
        <v>44</v>
      </c>
      <c r="G660" s="41">
        <v>70</v>
      </c>
      <c r="H660" s="41"/>
      <c r="I660" s="40">
        <f>IF(B660="","",IF(I659="",MASTER!$C$7,I659)+N(H660)-N(G660))</f>
        <v>3025</v>
      </c>
      <c r="J660" s="39">
        <v>17200</v>
      </c>
      <c r="K660" s="22">
        <f t="shared" si="55"/>
        <v>1204000</v>
      </c>
      <c r="L660" s="38" t="str">
        <f t="shared" si="56"/>
        <v/>
      </c>
      <c r="M660" s="37"/>
    </row>
    <row r="661" spans="1:13" ht="14" customHeight="1" x14ac:dyDescent="0.35">
      <c r="A661" s="44" t="str">
        <f t="shared" si="54"/>
        <v>September 2026</v>
      </c>
      <c r="B661" s="43">
        <v>46275</v>
      </c>
      <c r="C661" s="42" t="s">
        <v>93</v>
      </c>
      <c r="D661" s="42" t="s">
        <v>92</v>
      </c>
      <c r="E661" s="42" t="s">
        <v>101</v>
      </c>
      <c r="F661" s="42" t="s">
        <v>44</v>
      </c>
      <c r="G661" s="41">
        <v>65</v>
      </c>
      <c r="H661" s="41"/>
      <c r="I661" s="40">
        <f>IF(B661="","",IF(I660="",MASTER!$C$7,I660)+N(H661)-N(G661))</f>
        <v>2960</v>
      </c>
      <c r="J661" s="39">
        <v>17200</v>
      </c>
      <c r="K661" s="22">
        <f t="shared" si="55"/>
        <v>1118000</v>
      </c>
      <c r="L661" s="38" t="str">
        <f t="shared" si="56"/>
        <v/>
      </c>
      <c r="M661" s="37"/>
    </row>
    <row r="662" spans="1:13" ht="14" customHeight="1" x14ac:dyDescent="0.35">
      <c r="A662" s="44" t="str">
        <f t="shared" ref="A662:A663" si="57">IF(B662="","",TEXT(B662,"MMMM YYYY"))</f>
        <v>September 2026</v>
      </c>
      <c r="B662" s="43">
        <v>46276</v>
      </c>
      <c r="C662" s="42" t="s">
        <v>77</v>
      </c>
      <c r="D662" s="42" t="s">
        <v>427</v>
      </c>
      <c r="E662" s="42" t="s">
        <v>65</v>
      </c>
      <c r="F662" s="42" t="s">
        <v>44</v>
      </c>
      <c r="G662" s="41">
        <v>140</v>
      </c>
      <c r="H662" s="41"/>
      <c r="I662" s="40">
        <f>IF(B662="","",IF(I661="",MASTER!$C$7,I661)+N(H662)-N(G662))</f>
        <v>2820</v>
      </c>
      <c r="J662" s="39">
        <v>17200</v>
      </c>
      <c r="K662" s="22">
        <f t="shared" ref="K662:K663" si="58">IF(OR(B662="",J662=""),"",N(G662)*J662)</f>
        <v>2408000</v>
      </c>
      <c r="L662" s="38" t="str">
        <f t="shared" ref="L662:L663" si="59">IF(OR(B662="",H662="",J662=""),"",N(H662)*J662)</f>
        <v/>
      </c>
      <c r="M662" s="37"/>
    </row>
    <row r="663" spans="1:13" ht="14" customHeight="1" x14ac:dyDescent="0.35">
      <c r="A663" s="44" t="str">
        <f t="shared" si="57"/>
        <v>September 2026</v>
      </c>
      <c r="B663" s="43">
        <v>46276</v>
      </c>
      <c r="C663" s="42" t="s">
        <v>69</v>
      </c>
      <c r="D663" s="42" t="s">
        <v>415</v>
      </c>
      <c r="E663" s="42" t="s">
        <v>63</v>
      </c>
      <c r="F663" s="42" t="s">
        <v>44</v>
      </c>
      <c r="G663" s="41">
        <v>105</v>
      </c>
      <c r="H663" s="41"/>
      <c r="I663" s="40">
        <f>IF(B663="","",IF(I662="",MASTER!$C$7,I662)+N(H663)-N(G663))</f>
        <v>2715</v>
      </c>
      <c r="J663" s="39">
        <v>17200</v>
      </c>
      <c r="K663" s="22">
        <f t="shared" si="58"/>
        <v>1806000</v>
      </c>
      <c r="L663" s="38" t="str">
        <f t="shared" si="59"/>
        <v/>
      </c>
      <c r="M663" s="37"/>
    </row>
    <row r="664" spans="1:13" ht="14" customHeight="1" x14ac:dyDescent="0.35">
      <c r="A664" s="44" t="str">
        <f t="shared" ref="A664:A671" si="60">IF(B664="","",TEXT(B664,"MMMM YYYY"))</f>
        <v>September 2026</v>
      </c>
      <c r="B664" s="43">
        <v>46277</v>
      </c>
      <c r="C664" s="42" t="s">
        <v>64</v>
      </c>
      <c r="D664" s="42" t="s">
        <v>413</v>
      </c>
      <c r="E664" s="42" t="s">
        <v>459</v>
      </c>
      <c r="F664" s="42" t="s">
        <v>44</v>
      </c>
      <c r="G664" s="41">
        <v>150</v>
      </c>
      <c r="H664" s="41"/>
      <c r="I664" s="40">
        <f>IF(B664="","",IF(I663="",MASTER!$C$7,I663)+N(H664)-N(G664))</f>
        <v>2565</v>
      </c>
      <c r="J664" s="39">
        <v>17200</v>
      </c>
      <c r="K664" s="22">
        <f t="shared" ref="K664:K668" si="61">IF(OR(B664="",J664=""),"",N(G664)*J664)</f>
        <v>2580000</v>
      </c>
      <c r="L664" s="38" t="str">
        <f t="shared" ref="L664:L671" si="62">IF(OR(B664="",H664="",J664=""),"",N(H664)*J664)</f>
        <v/>
      </c>
      <c r="M664" s="37"/>
    </row>
    <row r="665" spans="1:13" ht="14" customHeight="1" x14ac:dyDescent="0.35">
      <c r="A665" s="44" t="str">
        <f t="shared" si="60"/>
        <v>September 2026</v>
      </c>
      <c r="B665" s="43">
        <v>46277</v>
      </c>
      <c r="C665" s="42" t="s">
        <v>106</v>
      </c>
      <c r="D665" s="42" t="s">
        <v>458</v>
      </c>
      <c r="E665" s="42" t="s">
        <v>65</v>
      </c>
      <c r="F665" s="42" t="s">
        <v>44</v>
      </c>
      <c r="G665" s="41">
        <v>350</v>
      </c>
      <c r="H665" s="41"/>
      <c r="I665" s="40">
        <f>IF(B665="","",IF(I664="",MASTER!$C$7,I664)+N(H665)-N(G665))</f>
        <v>2215</v>
      </c>
      <c r="J665" s="39">
        <v>17200</v>
      </c>
      <c r="K665" s="22">
        <f t="shared" si="61"/>
        <v>6020000</v>
      </c>
      <c r="L665" s="38" t="str">
        <f t="shared" si="62"/>
        <v/>
      </c>
      <c r="M665" s="37"/>
    </row>
    <row r="666" spans="1:13" ht="14" customHeight="1" x14ac:dyDescent="0.35">
      <c r="A666" s="44" t="str">
        <f t="shared" si="60"/>
        <v>September 2026</v>
      </c>
      <c r="B666" s="43">
        <v>46277</v>
      </c>
      <c r="C666" s="42" t="s">
        <v>69</v>
      </c>
      <c r="D666" s="42" t="s">
        <v>415</v>
      </c>
      <c r="E666" s="42" t="s">
        <v>459</v>
      </c>
      <c r="F666" s="42" t="s">
        <v>44</v>
      </c>
      <c r="G666" s="41">
        <v>70</v>
      </c>
      <c r="H666" s="41"/>
      <c r="I666" s="40">
        <f>IF(B666="","",IF(I665="",MASTER!$C$7,I665)+N(H666)-N(G666))</f>
        <v>2145</v>
      </c>
      <c r="J666" s="39">
        <v>17200</v>
      </c>
      <c r="K666" s="22">
        <f t="shared" si="61"/>
        <v>1204000</v>
      </c>
      <c r="L666" s="38" t="str">
        <f t="shared" si="62"/>
        <v/>
      </c>
      <c r="M666" s="37"/>
    </row>
    <row r="667" spans="1:13" ht="14" customHeight="1" x14ac:dyDescent="0.35">
      <c r="A667" s="44" t="str">
        <f t="shared" si="60"/>
        <v>September 2026</v>
      </c>
      <c r="B667" s="43">
        <v>46277</v>
      </c>
      <c r="C667" s="42" t="s">
        <v>62</v>
      </c>
      <c r="D667" s="42" t="s">
        <v>97</v>
      </c>
      <c r="E667" s="42" t="s">
        <v>63</v>
      </c>
      <c r="F667" s="42" t="s">
        <v>44</v>
      </c>
      <c r="G667" s="41">
        <v>25</v>
      </c>
      <c r="H667" s="41"/>
      <c r="I667" s="40">
        <f>IF(B667="","",IF(I666="",MASTER!$C$7,I666)+N(H667)-N(G667))</f>
        <v>2120</v>
      </c>
      <c r="J667" s="39">
        <v>17200</v>
      </c>
      <c r="K667" s="22">
        <f t="shared" si="61"/>
        <v>430000</v>
      </c>
      <c r="L667" s="38" t="str">
        <f t="shared" si="62"/>
        <v/>
      </c>
      <c r="M667" s="37"/>
    </row>
    <row r="668" spans="1:13" ht="14" customHeight="1" x14ac:dyDescent="0.35">
      <c r="A668" s="44" t="str">
        <f t="shared" si="60"/>
        <v>September 2026</v>
      </c>
      <c r="B668" s="43">
        <v>46282</v>
      </c>
      <c r="C668" s="42" t="s">
        <v>395</v>
      </c>
      <c r="D668" s="42" t="s">
        <v>395</v>
      </c>
      <c r="E668" s="42" t="s">
        <v>395</v>
      </c>
      <c r="F668" s="42" t="s">
        <v>44</v>
      </c>
      <c r="G668" s="41">
        <v>245</v>
      </c>
      <c r="H668" s="41"/>
      <c r="I668" s="40">
        <f>IF(B668="","",IF(I667="",MASTER!$C$7,I667)+N(H668)-N(G668))</f>
        <v>1875</v>
      </c>
      <c r="J668" s="39">
        <v>17200</v>
      </c>
      <c r="K668" s="22">
        <f t="shared" si="61"/>
        <v>4214000</v>
      </c>
      <c r="L668" s="38" t="str">
        <f t="shared" si="62"/>
        <v/>
      </c>
      <c r="M668" s="37" t="s">
        <v>395</v>
      </c>
    </row>
    <row r="669" spans="1:13" ht="14" customHeight="1" x14ac:dyDescent="0.35">
      <c r="A669" s="44" t="str">
        <f>IF(B669="","",TEXT(B669,"MMMM YYYY"))</f>
        <v>September 2026</v>
      </c>
      <c r="B669" s="43">
        <v>46282</v>
      </c>
      <c r="C669" s="42" t="s">
        <v>62</v>
      </c>
      <c r="D669" s="42" t="s">
        <v>97</v>
      </c>
      <c r="E669" s="42" t="s">
        <v>63</v>
      </c>
      <c r="F669" s="42" t="s">
        <v>44</v>
      </c>
      <c r="G669" s="41">
        <v>15</v>
      </c>
      <c r="H669" s="41"/>
      <c r="I669" s="40">
        <f>IF(B669="","",IF(I668="",MASTER!$C$7,I668)+N(H669)-N(G669))</f>
        <v>1860</v>
      </c>
      <c r="J669" s="39">
        <v>17200</v>
      </c>
      <c r="K669" s="22">
        <f>IF(OR(B669="",J669=""),"",N(G669)*J669)</f>
        <v>258000</v>
      </c>
      <c r="L669" s="38" t="str">
        <f>IF(OR(B669="",H669="",J669=""),"",N(H669)*J669)</f>
        <v/>
      </c>
      <c r="M669" s="37"/>
    </row>
    <row r="670" spans="1:13" ht="14" customHeight="1" x14ac:dyDescent="0.35">
      <c r="A670" s="44" t="str">
        <f t="shared" si="60"/>
        <v>September 2026</v>
      </c>
      <c r="B670" s="43">
        <v>46283</v>
      </c>
      <c r="C670" s="42" t="s">
        <v>464</v>
      </c>
      <c r="D670" s="42" t="s">
        <v>412</v>
      </c>
      <c r="E670" s="42" t="s">
        <v>53</v>
      </c>
      <c r="F670" s="42" t="s">
        <v>44</v>
      </c>
      <c r="G670" s="41">
        <v>140</v>
      </c>
      <c r="H670" s="41"/>
      <c r="I670" s="40">
        <f>IF(B670="","",IF(I669="",MASTER!$C$7,I669)+N(H670)-N(G670))</f>
        <v>1720</v>
      </c>
      <c r="J670" s="39">
        <v>17200</v>
      </c>
      <c r="K670" s="22">
        <f t="shared" ref="K670:K672" si="63">IF(OR(B670="",J670=""),"",N(G670)*J670)</f>
        <v>2408000</v>
      </c>
      <c r="L670" s="38" t="str">
        <f t="shared" si="62"/>
        <v/>
      </c>
      <c r="M670" s="37"/>
    </row>
    <row r="671" spans="1:13" ht="14" customHeight="1" x14ac:dyDescent="0.35">
      <c r="A671" s="44" t="str">
        <f t="shared" si="60"/>
        <v>September 2026</v>
      </c>
      <c r="B671" s="43">
        <v>46283</v>
      </c>
      <c r="C671" s="42" t="s">
        <v>395</v>
      </c>
      <c r="D671" s="42" t="s">
        <v>395</v>
      </c>
      <c r="E671" s="42" t="s">
        <v>395</v>
      </c>
      <c r="F671" s="42" t="s">
        <v>44</v>
      </c>
      <c r="G671" s="41">
        <v>105</v>
      </c>
      <c r="H671" s="41"/>
      <c r="I671" s="40">
        <f>IF(B671="","",IF(I670="",MASTER!$C$7,I670)+N(H671)-N(G671))</f>
        <v>1615</v>
      </c>
      <c r="J671" s="39">
        <v>17200</v>
      </c>
      <c r="K671" s="22">
        <f t="shared" si="63"/>
        <v>1806000</v>
      </c>
      <c r="L671" s="38" t="str">
        <f t="shared" si="62"/>
        <v/>
      </c>
      <c r="M671" s="37" t="s">
        <v>395</v>
      </c>
    </row>
    <row r="672" spans="1:13" ht="14" customHeight="1" x14ac:dyDescent="0.35">
      <c r="A672" s="44" t="str">
        <f t="shared" ref="A672:A678" si="64">IF(B672="","",TEXT(B672,"MMMM YYYY"))</f>
        <v>September 2026</v>
      </c>
      <c r="B672" s="43">
        <v>46283</v>
      </c>
      <c r="C672" s="42" t="s">
        <v>106</v>
      </c>
      <c r="D672" s="42" t="s">
        <v>92</v>
      </c>
      <c r="E672" s="42" t="s">
        <v>101</v>
      </c>
      <c r="F672" s="42" t="s">
        <v>44</v>
      </c>
      <c r="G672" s="41">
        <v>10</v>
      </c>
      <c r="H672" s="41"/>
      <c r="I672" s="40">
        <f>IF(B672="","",IF(I671="",MASTER!$C$7,I671)+N(H672)-N(G672))</f>
        <v>1605</v>
      </c>
      <c r="J672" s="39">
        <v>17200</v>
      </c>
      <c r="K672" s="22">
        <f t="shared" si="63"/>
        <v>172000</v>
      </c>
      <c r="L672" s="38" t="str">
        <f t="shared" ref="L672:L678" si="65">IF(OR(B672="",H672="",J672=""),"",N(H672)*J672)</f>
        <v/>
      </c>
      <c r="M672" s="37"/>
    </row>
    <row r="673" spans="1:13" ht="14" customHeight="1" x14ac:dyDescent="0.35">
      <c r="A673" s="44" t="str">
        <f t="shared" si="64"/>
        <v>September 2026</v>
      </c>
      <c r="B673" s="43">
        <v>46284</v>
      </c>
      <c r="C673" s="42" t="s">
        <v>64</v>
      </c>
      <c r="D673" s="42" t="s">
        <v>413</v>
      </c>
      <c r="E673" s="42" t="s">
        <v>53</v>
      </c>
      <c r="F673" s="42" t="s">
        <v>44</v>
      </c>
      <c r="G673" s="41">
        <v>150</v>
      </c>
      <c r="H673" s="41"/>
      <c r="I673" s="40">
        <f>IF(B673="","",IF(I672="",MASTER!$C$7,I672)+N(H673)-N(G673))</f>
        <v>1455</v>
      </c>
      <c r="J673" s="39">
        <v>17200</v>
      </c>
      <c r="K673" s="22">
        <f t="shared" ref="K673:K678" si="66">IF(OR(B673="",J673=""),"",N(G673)*J673)</f>
        <v>2580000</v>
      </c>
      <c r="L673" s="38" t="str">
        <f t="shared" si="65"/>
        <v/>
      </c>
      <c r="M673" s="37"/>
    </row>
    <row r="674" spans="1:13" ht="14" customHeight="1" x14ac:dyDescent="0.35">
      <c r="A674" s="44" t="str">
        <f t="shared" si="64"/>
        <v>September 2026</v>
      </c>
      <c r="B674" s="43">
        <v>46284</v>
      </c>
      <c r="C674" s="42" t="s">
        <v>50</v>
      </c>
      <c r="D674" s="42" t="s">
        <v>411</v>
      </c>
      <c r="E674" s="42" t="s">
        <v>351</v>
      </c>
      <c r="F674" s="42" t="s">
        <v>44</v>
      </c>
      <c r="G674" s="41">
        <v>35</v>
      </c>
      <c r="H674" s="41"/>
      <c r="I674" s="40">
        <f>IF(B674="","",IF(I673="",MASTER!$C$7,I673)+N(H674)-N(G674))</f>
        <v>1420</v>
      </c>
      <c r="J674" s="39">
        <v>17200</v>
      </c>
      <c r="K674" s="22">
        <f t="shared" si="66"/>
        <v>602000</v>
      </c>
      <c r="L674" s="38" t="str">
        <f t="shared" si="65"/>
        <v/>
      </c>
      <c r="M674" s="37"/>
    </row>
    <row r="675" spans="1:13" ht="14" customHeight="1" x14ac:dyDescent="0.35">
      <c r="A675" s="44" t="str">
        <f t="shared" si="64"/>
        <v>September 2026</v>
      </c>
      <c r="B675" s="43">
        <v>46284</v>
      </c>
      <c r="C675" s="42" t="s">
        <v>50</v>
      </c>
      <c r="D675" s="42" t="s">
        <v>411</v>
      </c>
      <c r="E675" s="42" t="s">
        <v>351</v>
      </c>
      <c r="F675" s="42" t="s">
        <v>44</v>
      </c>
      <c r="G675" s="41">
        <v>35</v>
      </c>
      <c r="H675" s="41"/>
      <c r="I675" s="40">
        <f>IF(B675="","",IF(I674="",MASTER!$C$7,I674)+N(H675)-N(G675))</f>
        <v>1385</v>
      </c>
      <c r="J675" s="39">
        <v>17200</v>
      </c>
      <c r="K675" s="22">
        <f t="shared" si="66"/>
        <v>602000</v>
      </c>
      <c r="L675" s="38" t="str">
        <f t="shared" si="65"/>
        <v/>
      </c>
      <c r="M675" s="37"/>
    </row>
    <row r="676" spans="1:13" ht="14" customHeight="1" x14ac:dyDescent="0.35">
      <c r="A676" s="44" t="str">
        <f t="shared" si="64"/>
        <v>September 2026</v>
      </c>
      <c r="B676" s="43">
        <v>46284</v>
      </c>
      <c r="C676" s="42" t="s">
        <v>469</v>
      </c>
      <c r="D676" s="42" t="s">
        <v>395</v>
      </c>
      <c r="E676" s="42" t="s">
        <v>395</v>
      </c>
      <c r="F676" s="42" t="s">
        <v>44</v>
      </c>
      <c r="G676" s="41">
        <v>140</v>
      </c>
      <c r="H676" s="41"/>
      <c r="I676" s="40">
        <f>IF(B676="","",IF(I675="",MASTER!$C$7,I675)+N(H676)-N(G676))</f>
        <v>1245</v>
      </c>
      <c r="J676" s="39">
        <v>17200</v>
      </c>
      <c r="K676" s="22">
        <f t="shared" si="66"/>
        <v>2408000</v>
      </c>
      <c r="L676" s="38" t="str">
        <f t="shared" si="65"/>
        <v/>
      </c>
      <c r="M676" s="37"/>
    </row>
    <row r="677" spans="1:13" ht="14" customHeight="1" x14ac:dyDescent="0.35">
      <c r="A677" s="44" t="str">
        <f t="shared" si="64"/>
        <v>September 2026</v>
      </c>
      <c r="B677" s="43">
        <v>46285</v>
      </c>
      <c r="C677" s="42" t="s">
        <v>64</v>
      </c>
      <c r="D677" s="42" t="s">
        <v>413</v>
      </c>
      <c r="E677" s="42" t="s">
        <v>53</v>
      </c>
      <c r="F677" s="42" t="s">
        <v>44</v>
      </c>
      <c r="G677" s="41">
        <v>70</v>
      </c>
      <c r="H677" s="41"/>
      <c r="I677" s="40">
        <f>IF(B677="","",IF(I676="",MASTER!$C$7,I676)+N(H677)-N(G677))</f>
        <v>1175</v>
      </c>
      <c r="J677" s="39">
        <v>17200</v>
      </c>
      <c r="K677" s="22">
        <f t="shared" si="66"/>
        <v>1204000</v>
      </c>
      <c r="L677" s="38" t="str">
        <f t="shared" si="65"/>
        <v/>
      </c>
      <c r="M677" s="37"/>
    </row>
    <row r="678" spans="1:13" ht="14" customHeight="1" x14ac:dyDescent="0.35">
      <c r="A678" s="44" t="str">
        <f t="shared" si="64"/>
        <v>September 2026</v>
      </c>
      <c r="B678" s="43">
        <v>46285</v>
      </c>
      <c r="C678" s="42" t="s">
        <v>470</v>
      </c>
      <c r="D678" s="42" t="s">
        <v>415</v>
      </c>
      <c r="E678" s="42" t="s">
        <v>351</v>
      </c>
      <c r="F678" s="42" t="s">
        <v>44</v>
      </c>
      <c r="G678" s="41">
        <v>70</v>
      </c>
      <c r="H678" s="41"/>
      <c r="I678" s="40">
        <f>IF(B678="","",IF(I677="",MASTER!$C$7,I677)+N(H678)-N(G678))</f>
        <v>1105</v>
      </c>
      <c r="J678" s="39">
        <v>17200</v>
      </c>
      <c r="K678" s="22">
        <f t="shared" si="66"/>
        <v>1204000</v>
      </c>
      <c r="L678" s="38" t="str">
        <f t="shared" si="65"/>
        <v/>
      </c>
      <c r="M678" s="37"/>
    </row>
    <row r="679" spans="1:13" ht="14" customHeight="1" x14ac:dyDescent="0.35">
      <c r="A679" s="44" t="str">
        <f t="shared" ref="A679:A683" si="67">IF(B679="","",TEXT(B679,"MMMM YYYY"))</f>
        <v>September 2026</v>
      </c>
      <c r="B679" s="43">
        <v>46285</v>
      </c>
      <c r="C679" s="42" t="s">
        <v>469</v>
      </c>
      <c r="D679" s="42" t="s">
        <v>395</v>
      </c>
      <c r="E679" s="42" t="s">
        <v>395</v>
      </c>
      <c r="F679" s="42" t="s">
        <v>44</v>
      </c>
      <c r="G679" s="41">
        <v>70</v>
      </c>
      <c r="H679" s="41"/>
      <c r="I679" s="40">
        <f>IF(B679="","",IF(I678="",MASTER!$C$7,I678)+N(H679)-N(G679))</f>
        <v>1035</v>
      </c>
      <c r="J679" s="39">
        <v>17200</v>
      </c>
      <c r="K679" s="22">
        <f t="shared" ref="K679:K683" si="68">IF(OR(B679="",J679=""),"",N(G679)*J679)</f>
        <v>1204000</v>
      </c>
      <c r="L679" s="38" t="str">
        <f t="shared" ref="L679:L683" si="69">IF(OR(B679="",H679="",J679=""),"",N(H679)*J679)</f>
        <v/>
      </c>
      <c r="M679" s="37"/>
    </row>
    <row r="680" spans="1:13" ht="14" customHeight="1" x14ac:dyDescent="0.35">
      <c r="A680" s="44" t="str">
        <f t="shared" si="67"/>
        <v>September 2026</v>
      </c>
      <c r="B680" s="43">
        <v>46285</v>
      </c>
      <c r="C680" s="42" t="s">
        <v>471</v>
      </c>
      <c r="D680" s="42" t="s">
        <v>92</v>
      </c>
      <c r="E680" s="42" t="s">
        <v>101</v>
      </c>
      <c r="F680" s="42" t="s">
        <v>44</v>
      </c>
      <c r="G680" s="41">
        <v>64</v>
      </c>
      <c r="H680" s="41"/>
      <c r="I680" s="40">
        <f>IF(B680="","",IF(I679="",MASTER!$C$7,I679)+N(H680)-N(G680))</f>
        <v>971</v>
      </c>
      <c r="J680" s="39">
        <v>17200</v>
      </c>
      <c r="K680" s="22">
        <f t="shared" si="68"/>
        <v>1100800</v>
      </c>
      <c r="L680" s="38" t="str">
        <f t="shared" si="69"/>
        <v/>
      </c>
      <c r="M680" s="37"/>
    </row>
    <row r="681" spans="1:13" ht="14" customHeight="1" x14ac:dyDescent="0.35">
      <c r="A681" s="44" t="str">
        <f t="shared" si="67"/>
        <v>September 2026</v>
      </c>
      <c r="B681" s="43">
        <v>46285</v>
      </c>
      <c r="C681" s="42" t="s">
        <v>469</v>
      </c>
      <c r="D681" s="42" t="s">
        <v>395</v>
      </c>
      <c r="E681" s="42" t="s">
        <v>395</v>
      </c>
      <c r="F681" s="42" t="s">
        <v>44</v>
      </c>
      <c r="G681" s="41">
        <v>140</v>
      </c>
      <c r="H681" s="41"/>
      <c r="I681" s="40">
        <f>IF(B681="","",IF(I680="",MASTER!$C$7,I680)+N(H681)-N(G681))</f>
        <v>831</v>
      </c>
      <c r="J681" s="39">
        <v>17200</v>
      </c>
      <c r="K681" s="22">
        <f t="shared" si="68"/>
        <v>2408000</v>
      </c>
      <c r="L681" s="38" t="str">
        <f t="shared" si="69"/>
        <v/>
      </c>
      <c r="M681" s="37"/>
    </row>
    <row r="682" spans="1:13" ht="14" customHeight="1" x14ac:dyDescent="0.35">
      <c r="A682" s="44" t="str">
        <f t="shared" si="67"/>
        <v>September 2026</v>
      </c>
      <c r="B682" s="43">
        <v>46285</v>
      </c>
      <c r="C682" s="42" t="s">
        <v>50</v>
      </c>
      <c r="D682" s="42" t="s">
        <v>395</v>
      </c>
      <c r="E682" s="42" t="s">
        <v>395</v>
      </c>
      <c r="F682" s="42" t="s">
        <v>44</v>
      </c>
      <c r="G682" s="41">
        <v>140</v>
      </c>
      <c r="H682" s="41"/>
      <c r="I682" s="40">
        <f>IF(B682="","",IF(I681="",MASTER!$C$7,I681)+N(H682)-N(G682))</f>
        <v>691</v>
      </c>
      <c r="J682" s="39">
        <v>17200</v>
      </c>
      <c r="K682" s="22">
        <f t="shared" si="68"/>
        <v>2408000</v>
      </c>
      <c r="L682" s="38" t="str">
        <f t="shared" si="69"/>
        <v/>
      </c>
      <c r="M682" s="37"/>
    </row>
    <row r="683" spans="1:13" ht="14" customHeight="1" x14ac:dyDescent="0.35">
      <c r="A683" s="44" t="str">
        <f t="shared" si="67"/>
        <v/>
      </c>
      <c r="B683" s="43"/>
      <c r="C683" s="42"/>
      <c r="D683" s="42"/>
      <c r="E683" s="42"/>
      <c r="F683" s="42"/>
      <c r="G683" s="41"/>
      <c r="H683" s="41"/>
      <c r="I683" s="40" t="str">
        <f>IF(B683="","",IF(I682="",MASTER!$C$7,I682)+N(H683)-N(G683))</f>
        <v/>
      </c>
      <c r="J683" s="39"/>
      <c r="K683" s="22" t="str">
        <f t="shared" si="68"/>
        <v/>
      </c>
      <c r="L683" s="38" t="str">
        <f t="shared" si="69"/>
        <v/>
      </c>
      <c r="M683" s="37"/>
    </row>
    <row r="685" spans="1:13" x14ac:dyDescent="0.35">
      <c r="A685" s="11" t="s">
        <v>16</v>
      </c>
      <c r="G685" s="12">
        <f>SUBTOTAL(109,TBL_BBM[BBM / LTR (KELUAR)])</f>
        <v>86649</v>
      </c>
      <c r="H685" s="12">
        <f>SUBTOTAL(109,TBL_BBM[BBM MASUK (LTR)])</f>
        <v>87340</v>
      </c>
      <c r="K685" s="13">
        <f>SUBTOTAL(109,TBL_BBM[NILAI BBM KELUAR (RP)])</f>
        <v>1560043200</v>
      </c>
      <c r="L685" s="13">
        <f>SUBTOTAL(109,TBL_BBM[NILAI BBM MASUK (RP)])</f>
        <v>1494467084</v>
      </c>
    </row>
    <row r="686" spans="1:13" x14ac:dyDescent="0.35">
      <c r="A686" s="11" t="s">
        <v>55</v>
      </c>
      <c r="G686" s="12">
        <f>MASTER!$C$7+H685-G685</f>
        <v>691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37B5-34FE-4705-8493-5D009A9EDE38}">
  <sheetPr>
    <tabColor theme="5" tint="0.59999389629810485"/>
  </sheetPr>
  <dimension ref="B1:J48"/>
  <sheetViews>
    <sheetView topLeftCell="A21" zoomScale="78" zoomScaleNormal="78" workbookViewId="0">
      <selection activeCell="F39" sqref="F39"/>
    </sheetView>
  </sheetViews>
  <sheetFormatPr defaultRowHeight="14.5" x14ac:dyDescent="0.35"/>
  <cols>
    <col min="1" max="1" width="1.81640625" customWidth="1"/>
    <col min="2" max="2" width="6.08984375" customWidth="1"/>
    <col min="3" max="3" width="11.90625" customWidth="1"/>
    <col min="4" max="4" width="20.7265625" customWidth="1"/>
    <col min="5" max="5" width="23.1796875" customWidth="1"/>
    <col min="6" max="6" width="16.1796875" customWidth="1"/>
    <col min="7" max="7" width="14.90625" customWidth="1"/>
    <col min="8" max="8" width="14.1796875" customWidth="1"/>
    <col min="9" max="9" width="14" customWidth="1"/>
    <col min="10" max="10" width="44.6328125" customWidth="1"/>
  </cols>
  <sheetData>
    <row r="1" spans="2:10" ht="26" customHeight="1" x14ac:dyDescent="0.35">
      <c r="B1" s="48" t="s">
        <v>402</v>
      </c>
      <c r="C1" s="48" t="s">
        <v>14</v>
      </c>
      <c r="D1" s="48" t="s">
        <v>434</v>
      </c>
      <c r="E1" s="48" t="s">
        <v>403</v>
      </c>
      <c r="F1" s="48" t="s">
        <v>404</v>
      </c>
      <c r="G1" s="48" t="s">
        <v>405</v>
      </c>
      <c r="H1" s="48" t="s">
        <v>406</v>
      </c>
      <c r="I1" s="48" t="s">
        <v>16</v>
      </c>
      <c r="J1" s="48" t="s">
        <v>15</v>
      </c>
    </row>
    <row r="2" spans="2:10" x14ac:dyDescent="0.35">
      <c r="B2" s="49">
        <v>1</v>
      </c>
      <c r="C2" s="50">
        <v>46262</v>
      </c>
      <c r="D2" s="49" t="s">
        <v>435</v>
      </c>
      <c r="E2" s="49" t="s">
        <v>41</v>
      </c>
      <c r="F2" s="49">
        <v>150</v>
      </c>
      <c r="G2" s="49">
        <v>17455</v>
      </c>
      <c r="H2" s="49">
        <v>17460</v>
      </c>
      <c r="I2" s="49">
        <f t="shared" ref="I2:I3" si="0">H2-G2</f>
        <v>5</v>
      </c>
      <c r="J2" s="49" t="s">
        <v>426</v>
      </c>
    </row>
    <row r="3" spans="2:10" x14ac:dyDescent="0.35">
      <c r="B3" s="49">
        <v>2</v>
      </c>
      <c r="C3" s="50">
        <v>46263</v>
      </c>
      <c r="D3" s="49" t="s">
        <v>435</v>
      </c>
      <c r="E3" s="49" t="s">
        <v>41</v>
      </c>
      <c r="F3" s="49">
        <v>105</v>
      </c>
      <c r="G3" s="49">
        <v>17460</v>
      </c>
      <c r="H3" s="49">
        <v>17464.7</v>
      </c>
      <c r="I3" s="49">
        <f t="shared" si="0"/>
        <v>4.7000000000007276</v>
      </c>
      <c r="J3" s="49" t="s">
        <v>428</v>
      </c>
    </row>
    <row r="4" spans="2:10" x14ac:dyDescent="0.35">
      <c r="B4" s="49">
        <v>3</v>
      </c>
      <c r="C4" s="50">
        <v>46264</v>
      </c>
      <c r="D4" s="49" t="s">
        <v>441</v>
      </c>
      <c r="E4" s="49" t="s">
        <v>425</v>
      </c>
      <c r="F4" s="49">
        <v>0</v>
      </c>
      <c r="G4" s="49">
        <v>744.7</v>
      </c>
      <c r="H4" s="49">
        <v>751.9</v>
      </c>
      <c r="I4" s="49">
        <f t="shared" ref="I4:I39" si="1">H4-G4</f>
        <v>7.1999999999999318</v>
      </c>
      <c r="J4" s="49" t="s">
        <v>53</v>
      </c>
    </row>
    <row r="5" spans="2:10" x14ac:dyDescent="0.35">
      <c r="B5" s="49">
        <v>4</v>
      </c>
      <c r="C5" s="50">
        <v>46264</v>
      </c>
      <c r="D5" s="49" t="s">
        <v>52</v>
      </c>
      <c r="E5" s="49" t="s">
        <v>40</v>
      </c>
      <c r="F5" s="49">
        <v>0</v>
      </c>
      <c r="G5" s="49">
        <v>2860.9</v>
      </c>
      <c r="H5" s="49">
        <v>2865.3</v>
      </c>
      <c r="I5" s="49">
        <f t="shared" si="1"/>
        <v>4.4000000000000909</v>
      </c>
      <c r="J5" s="49" t="s">
        <v>53</v>
      </c>
    </row>
    <row r="6" spans="2:10" x14ac:dyDescent="0.35">
      <c r="B6" s="49">
        <v>5</v>
      </c>
      <c r="C6" s="50">
        <v>46264</v>
      </c>
      <c r="D6" s="49" t="s">
        <v>437</v>
      </c>
      <c r="E6" s="49" t="s">
        <v>36</v>
      </c>
      <c r="F6" s="49">
        <v>35</v>
      </c>
      <c r="G6" s="49">
        <v>1069.2</v>
      </c>
      <c r="H6" s="49">
        <v>1077.3</v>
      </c>
      <c r="I6" s="49">
        <f t="shared" si="1"/>
        <v>8.0999999999999091</v>
      </c>
      <c r="J6" s="49" t="s">
        <v>63</v>
      </c>
    </row>
    <row r="7" spans="2:10" x14ac:dyDescent="0.35">
      <c r="B7" s="49">
        <v>6</v>
      </c>
      <c r="C7" s="50">
        <v>46264</v>
      </c>
      <c r="D7" s="49" t="s">
        <v>435</v>
      </c>
      <c r="E7" s="49" t="s">
        <v>41</v>
      </c>
      <c r="F7" s="49">
        <v>150</v>
      </c>
      <c r="G7" s="49">
        <v>17464.7</v>
      </c>
      <c r="H7" s="49">
        <v>17470</v>
      </c>
      <c r="I7" s="49">
        <f t="shared" si="1"/>
        <v>5.2999999999992724</v>
      </c>
      <c r="J7" s="49" t="s">
        <v>442</v>
      </c>
    </row>
    <row r="8" spans="2:10" x14ac:dyDescent="0.35">
      <c r="B8" s="49">
        <v>7</v>
      </c>
      <c r="C8" s="50">
        <v>46264</v>
      </c>
      <c r="D8" s="49" t="s">
        <v>50</v>
      </c>
      <c r="E8" s="49" t="s">
        <v>27</v>
      </c>
      <c r="F8" s="49">
        <v>0</v>
      </c>
      <c r="G8" s="49">
        <v>2445</v>
      </c>
      <c r="H8" s="49">
        <v>2449</v>
      </c>
      <c r="I8" s="49">
        <f t="shared" si="1"/>
        <v>4</v>
      </c>
      <c r="J8" s="49" t="s">
        <v>462</v>
      </c>
    </row>
    <row r="9" spans="2:10" x14ac:dyDescent="0.35">
      <c r="B9" s="49">
        <v>8</v>
      </c>
      <c r="C9" s="50">
        <v>46266</v>
      </c>
      <c r="D9" s="49" t="s">
        <v>435</v>
      </c>
      <c r="E9" s="49" t="s">
        <v>41</v>
      </c>
      <c r="F9" s="49">
        <v>0</v>
      </c>
      <c r="G9" s="49">
        <v>17470</v>
      </c>
      <c r="H9" s="49">
        <v>17472.599999999999</v>
      </c>
      <c r="I9" s="49">
        <f t="shared" si="1"/>
        <v>2.5999999999985448</v>
      </c>
      <c r="J9" s="49" t="s">
        <v>53</v>
      </c>
    </row>
    <row r="10" spans="2:10" x14ac:dyDescent="0.35">
      <c r="B10" s="49">
        <v>9</v>
      </c>
      <c r="C10" s="50">
        <v>46266</v>
      </c>
      <c r="D10" s="49" t="s">
        <v>436</v>
      </c>
      <c r="E10" s="49" t="s">
        <v>40</v>
      </c>
      <c r="F10" s="49">
        <v>0</v>
      </c>
      <c r="G10" s="49">
        <v>2865.3</v>
      </c>
      <c r="H10" s="49">
        <v>2872.3</v>
      </c>
      <c r="I10" s="49">
        <f t="shared" si="1"/>
        <v>7</v>
      </c>
      <c r="J10" s="49" t="s">
        <v>53</v>
      </c>
    </row>
    <row r="11" spans="2:10" x14ac:dyDescent="0.35">
      <c r="B11" s="49">
        <v>10</v>
      </c>
      <c r="C11" s="50">
        <v>46266</v>
      </c>
      <c r="D11" s="49" t="s">
        <v>437</v>
      </c>
      <c r="E11" s="49" t="s">
        <v>36</v>
      </c>
      <c r="F11" s="49">
        <v>0</v>
      </c>
      <c r="G11" s="49">
        <v>1086.0999999999999</v>
      </c>
      <c r="H11" s="49">
        <v>1091.2</v>
      </c>
      <c r="I11" s="49">
        <f t="shared" si="1"/>
        <v>5.1000000000001364</v>
      </c>
      <c r="J11" s="49" t="s">
        <v>438</v>
      </c>
    </row>
    <row r="12" spans="2:10" x14ac:dyDescent="0.35">
      <c r="B12" s="49">
        <v>11</v>
      </c>
      <c r="C12" s="50">
        <v>46266</v>
      </c>
      <c r="D12" s="49" t="s">
        <v>50</v>
      </c>
      <c r="E12" s="49" t="s">
        <v>27</v>
      </c>
      <c r="F12" s="49">
        <v>0</v>
      </c>
      <c r="G12" s="49">
        <v>2449</v>
      </c>
      <c r="H12" s="49">
        <v>2455</v>
      </c>
      <c r="I12" s="49">
        <f t="shared" si="1"/>
        <v>6</v>
      </c>
      <c r="J12" s="49" t="s">
        <v>439</v>
      </c>
    </row>
    <row r="13" spans="2:10" x14ac:dyDescent="0.35">
      <c r="B13" s="49">
        <v>12</v>
      </c>
      <c r="C13" s="50">
        <v>46267</v>
      </c>
      <c r="D13" s="49" t="s">
        <v>435</v>
      </c>
      <c r="E13" s="49" t="s">
        <v>41</v>
      </c>
      <c r="F13" s="49">
        <v>150</v>
      </c>
      <c r="G13" s="49">
        <v>17474.900000000001</v>
      </c>
      <c r="H13" s="49">
        <v>17483</v>
      </c>
      <c r="I13" s="49">
        <f>H13-G13</f>
        <v>8.0999999999985448</v>
      </c>
      <c r="J13" s="49" t="s">
        <v>440</v>
      </c>
    </row>
    <row r="14" spans="2:10" x14ac:dyDescent="0.35">
      <c r="B14" s="49">
        <v>13</v>
      </c>
      <c r="C14" s="50">
        <v>46267</v>
      </c>
      <c r="D14" s="49" t="s">
        <v>436</v>
      </c>
      <c r="E14" s="49" t="s">
        <v>40</v>
      </c>
      <c r="F14" s="49">
        <v>150</v>
      </c>
      <c r="G14" s="49">
        <v>2872.3</v>
      </c>
      <c r="H14" s="49">
        <v>2879</v>
      </c>
      <c r="I14" s="49">
        <f t="shared" si="1"/>
        <v>6.6999999999998181</v>
      </c>
      <c r="J14" s="49" t="s">
        <v>53</v>
      </c>
    </row>
    <row r="15" spans="2:10" x14ac:dyDescent="0.35">
      <c r="B15" s="49">
        <v>14</v>
      </c>
      <c r="C15" s="50">
        <v>46267</v>
      </c>
      <c r="D15" s="49" t="s">
        <v>50</v>
      </c>
      <c r="E15" s="49" t="s">
        <v>27</v>
      </c>
      <c r="F15" s="49">
        <v>150</v>
      </c>
      <c r="G15" s="49">
        <v>2455</v>
      </c>
      <c r="H15" s="49">
        <v>2460</v>
      </c>
      <c r="I15" s="49">
        <f t="shared" si="1"/>
        <v>5</v>
      </c>
      <c r="J15" s="49" t="s">
        <v>53</v>
      </c>
    </row>
    <row r="16" spans="2:10" x14ac:dyDescent="0.35">
      <c r="B16" s="49">
        <v>15</v>
      </c>
      <c r="C16" s="50">
        <v>46268</v>
      </c>
      <c r="D16" s="49" t="s">
        <v>435</v>
      </c>
      <c r="E16" s="49" t="s">
        <v>41</v>
      </c>
      <c r="F16" s="49">
        <v>0</v>
      </c>
      <c r="G16" s="49">
        <v>17483</v>
      </c>
      <c r="H16" s="49">
        <v>17486</v>
      </c>
      <c r="I16" s="49">
        <f t="shared" si="1"/>
        <v>3</v>
      </c>
      <c r="J16" s="49" t="s">
        <v>454</v>
      </c>
    </row>
    <row r="17" spans="2:10" x14ac:dyDescent="0.35">
      <c r="B17" s="49">
        <v>16</v>
      </c>
      <c r="C17" s="50">
        <v>46268</v>
      </c>
      <c r="D17" s="49" t="s">
        <v>436</v>
      </c>
      <c r="E17" s="49" t="s">
        <v>40</v>
      </c>
      <c r="F17" s="49">
        <v>0</v>
      </c>
      <c r="G17" s="49">
        <v>2879</v>
      </c>
      <c r="H17" s="49">
        <v>2884.7</v>
      </c>
      <c r="I17" s="49">
        <f t="shared" si="1"/>
        <v>5.6999999999998181</v>
      </c>
      <c r="J17" s="49" t="s">
        <v>53</v>
      </c>
    </row>
    <row r="18" spans="2:10" x14ac:dyDescent="0.35">
      <c r="B18" s="49">
        <v>17</v>
      </c>
      <c r="C18" s="50">
        <v>46269</v>
      </c>
      <c r="D18" s="49" t="s">
        <v>435</v>
      </c>
      <c r="E18" s="49" t="s">
        <v>41</v>
      </c>
      <c r="F18" s="49">
        <v>0</v>
      </c>
      <c r="G18" s="49">
        <v>17486</v>
      </c>
      <c r="H18" s="49">
        <v>17488.900000000001</v>
      </c>
      <c r="I18" s="49">
        <f t="shared" si="1"/>
        <v>2.9000000000014552</v>
      </c>
      <c r="J18" s="49" t="s">
        <v>454</v>
      </c>
    </row>
    <row r="19" spans="2:10" x14ac:dyDescent="0.35">
      <c r="B19" s="49">
        <v>18</v>
      </c>
      <c r="C19" s="50">
        <v>46270</v>
      </c>
      <c r="D19" s="49" t="s">
        <v>435</v>
      </c>
      <c r="E19" s="49" t="s">
        <v>41</v>
      </c>
      <c r="F19" s="49">
        <v>150</v>
      </c>
      <c r="G19" s="49">
        <v>17488.900000000001</v>
      </c>
      <c r="H19" s="49">
        <v>17494.599999999999</v>
      </c>
      <c r="I19" s="49">
        <f t="shared" si="1"/>
        <v>5.6999999999970896</v>
      </c>
      <c r="J19" s="49" t="s">
        <v>455</v>
      </c>
    </row>
    <row r="20" spans="2:10" x14ac:dyDescent="0.35">
      <c r="B20" s="49">
        <v>19</v>
      </c>
      <c r="C20" s="50">
        <v>46270</v>
      </c>
      <c r="D20" s="49" t="s">
        <v>436</v>
      </c>
      <c r="E20" s="49" t="s">
        <v>40</v>
      </c>
      <c r="F20" s="49">
        <v>0</v>
      </c>
      <c r="G20" s="49">
        <v>2884.7</v>
      </c>
      <c r="H20" s="49">
        <v>2891.8</v>
      </c>
      <c r="I20" s="49">
        <f t="shared" si="1"/>
        <v>7.1000000000003638</v>
      </c>
      <c r="J20" s="49" t="s">
        <v>53</v>
      </c>
    </row>
    <row r="21" spans="2:10" x14ac:dyDescent="0.35">
      <c r="B21" s="49">
        <v>20</v>
      </c>
      <c r="C21" s="50">
        <v>46270</v>
      </c>
      <c r="D21" s="49" t="s">
        <v>50</v>
      </c>
      <c r="E21" s="49" t="s">
        <v>27</v>
      </c>
      <c r="F21" s="49">
        <v>0</v>
      </c>
      <c r="G21" s="49">
        <v>2460</v>
      </c>
      <c r="H21" s="49">
        <v>2466</v>
      </c>
      <c r="I21" s="49">
        <f t="shared" si="1"/>
        <v>6</v>
      </c>
      <c r="J21" s="49" t="s">
        <v>53</v>
      </c>
    </row>
    <row r="22" spans="2:10" x14ac:dyDescent="0.35">
      <c r="B22" s="49">
        <v>21</v>
      </c>
      <c r="C22" s="50">
        <v>46271</v>
      </c>
      <c r="D22" s="49" t="s">
        <v>50</v>
      </c>
      <c r="E22" s="49" t="s">
        <v>27</v>
      </c>
      <c r="F22" s="49">
        <v>0</v>
      </c>
      <c r="G22" s="49">
        <v>2466</v>
      </c>
      <c r="H22" s="49">
        <v>2471</v>
      </c>
      <c r="I22" s="49">
        <f t="shared" si="1"/>
        <v>5</v>
      </c>
      <c r="J22" s="49" t="s">
        <v>53</v>
      </c>
    </row>
    <row r="23" spans="2:10" x14ac:dyDescent="0.35">
      <c r="B23" s="49">
        <v>22</v>
      </c>
      <c r="C23" s="50">
        <v>46271</v>
      </c>
      <c r="D23" s="49" t="s">
        <v>437</v>
      </c>
      <c r="E23" s="49" t="s">
        <v>36</v>
      </c>
      <c r="F23" s="49">
        <v>0</v>
      </c>
      <c r="G23" s="49">
        <v>1139</v>
      </c>
      <c r="H23" s="49">
        <v>1141.5999999999999</v>
      </c>
      <c r="I23" s="49">
        <f t="shared" si="1"/>
        <v>2.5999999999999091</v>
      </c>
      <c r="J23" s="49" t="s">
        <v>456</v>
      </c>
    </row>
    <row r="24" spans="2:10" x14ac:dyDescent="0.35">
      <c r="B24" s="49">
        <v>23</v>
      </c>
      <c r="C24" s="50">
        <v>46271</v>
      </c>
      <c r="D24" s="49" t="s">
        <v>436</v>
      </c>
      <c r="E24" s="49" t="s">
        <v>40</v>
      </c>
      <c r="F24" s="49">
        <v>150</v>
      </c>
      <c r="G24" s="49">
        <v>2891.8</v>
      </c>
      <c r="H24" s="49">
        <v>2898.8</v>
      </c>
      <c r="I24" s="49">
        <f t="shared" si="1"/>
        <v>7</v>
      </c>
      <c r="J24" s="49" t="s">
        <v>53</v>
      </c>
    </row>
    <row r="25" spans="2:10" x14ac:dyDescent="0.35">
      <c r="B25" s="49">
        <v>24</v>
      </c>
      <c r="C25" s="50">
        <v>46271</v>
      </c>
      <c r="D25" s="49" t="s">
        <v>435</v>
      </c>
      <c r="E25" s="49" t="s">
        <v>41</v>
      </c>
      <c r="F25" s="49">
        <v>0</v>
      </c>
      <c r="G25" s="49">
        <v>17494.400000000001</v>
      </c>
      <c r="H25" s="49">
        <v>17499.900000000001</v>
      </c>
      <c r="I25" s="49">
        <f t="shared" si="1"/>
        <v>5.5</v>
      </c>
      <c r="J25" s="49" t="s">
        <v>457</v>
      </c>
    </row>
    <row r="26" spans="2:10" x14ac:dyDescent="0.35">
      <c r="B26" s="49">
        <v>26</v>
      </c>
      <c r="C26" s="53">
        <v>46273</v>
      </c>
      <c r="D26" s="49" t="s">
        <v>50</v>
      </c>
      <c r="E26" s="54" t="s">
        <v>27</v>
      </c>
      <c r="F26" s="54">
        <v>0</v>
      </c>
      <c r="G26" s="49">
        <v>2471</v>
      </c>
      <c r="H26" s="54">
        <v>2478</v>
      </c>
      <c r="I26" s="54">
        <f t="shared" si="1"/>
        <v>7</v>
      </c>
      <c r="J26" s="54" t="s">
        <v>53</v>
      </c>
    </row>
    <row r="27" spans="2:10" x14ac:dyDescent="0.35">
      <c r="B27" s="49">
        <v>27</v>
      </c>
      <c r="C27" s="53">
        <v>46273</v>
      </c>
      <c r="D27" s="49" t="s">
        <v>436</v>
      </c>
      <c r="E27" s="54" t="s">
        <v>40</v>
      </c>
      <c r="F27" s="54">
        <v>0</v>
      </c>
      <c r="G27" s="49">
        <v>2898.8</v>
      </c>
      <c r="H27" s="54">
        <v>2907.3</v>
      </c>
      <c r="I27" s="54">
        <f t="shared" si="1"/>
        <v>8.5</v>
      </c>
      <c r="J27" s="54" t="s">
        <v>53</v>
      </c>
    </row>
    <row r="28" spans="2:10" x14ac:dyDescent="0.35">
      <c r="B28" s="49">
        <v>28</v>
      </c>
      <c r="C28" s="53">
        <v>46273</v>
      </c>
      <c r="D28" s="49" t="s">
        <v>435</v>
      </c>
      <c r="E28" s="54" t="s">
        <v>41</v>
      </c>
      <c r="F28" s="54">
        <v>0</v>
      </c>
      <c r="G28" s="49">
        <v>17499.900000000001</v>
      </c>
      <c r="H28" s="54">
        <v>17503.099999999999</v>
      </c>
      <c r="I28" s="54">
        <f t="shared" si="1"/>
        <v>3.1999999999970896</v>
      </c>
      <c r="J28" s="54" t="s">
        <v>460</v>
      </c>
    </row>
    <row r="29" spans="2:10" x14ac:dyDescent="0.35">
      <c r="B29" s="49">
        <v>29</v>
      </c>
      <c r="C29" s="53">
        <v>46274</v>
      </c>
      <c r="D29" s="54" t="s">
        <v>436</v>
      </c>
      <c r="E29" s="54" t="s">
        <v>40</v>
      </c>
      <c r="F29" s="54">
        <v>150</v>
      </c>
      <c r="G29" s="54">
        <v>2907.3</v>
      </c>
      <c r="H29" s="54">
        <v>2915.6</v>
      </c>
      <c r="I29" s="54">
        <f t="shared" si="1"/>
        <v>8.2999999999997272</v>
      </c>
      <c r="J29" s="54" t="s">
        <v>461</v>
      </c>
    </row>
    <row r="30" spans="2:10" x14ac:dyDescent="0.35">
      <c r="B30" s="49">
        <v>30</v>
      </c>
      <c r="C30" s="53">
        <v>46274</v>
      </c>
      <c r="D30" s="49" t="s">
        <v>435</v>
      </c>
      <c r="E30" s="54" t="s">
        <v>41</v>
      </c>
      <c r="F30" s="54">
        <v>0</v>
      </c>
      <c r="G30" s="54">
        <v>17503.099999999999</v>
      </c>
      <c r="H30" s="54">
        <v>17510.099999999999</v>
      </c>
      <c r="I30" s="54">
        <f t="shared" si="1"/>
        <v>7</v>
      </c>
      <c r="J30" s="54" t="s">
        <v>461</v>
      </c>
    </row>
    <row r="31" spans="2:10" x14ac:dyDescent="0.35">
      <c r="B31" s="49">
        <v>31</v>
      </c>
      <c r="C31" s="53">
        <v>46274</v>
      </c>
      <c r="D31" s="49" t="s">
        <v>50</v>
      </c>
      <c r="E31" s="54" t="s">
        <v>27</v>
      </c>
      <c r="F31" s="54">
        <v>0</v>
      </c>
      <c r="G31" s="54">
        <v>2478</v>
      </c>
      <c r="H31" s="54">
        <v>2484</v>
      </c>
      <c r="I31" s="54">
        <f t="shared" si="1"/>
        <v>6</v>
      </c>
      <c r="J31" s="54" t="s">
        <v>53</v>
      </c>
    </row>
    <row r="32" spans="2:10" x14ac:dyDescent="0.35">
      <c r="B32" s="49">
        <v>32</v>
      </c>
      <c r="C32" s="53">
        <v>46275</v>
      </c>
      <c r="D32" s="49" t="s">
        <v>437</v>
      </c>
      <c r="E32" s="54" t="s">
        <v>36</v>
      </c>
      <c r="F32" s="54">
        <v>70</v>
      </c>
      <c r="G32" s="54">
        <v>1141.5999999999999</v>
      </c>
      <c r="H32" s="54">
        <v>1145.7</v>
      </c>
      <c r="I32" s="54">
        <f t="shared" si="1"/>
        <v>4.1000000000001364</v>
      </c>
      <c r="J32" s="54" t="s">
        <v>463</v>
      </c>
    </row>
    <row r="33" spans="2:10" x14ac:dyDescent="0.35">
      <c r="B33" s="49">
        <v>33</v>
      </c>
      <c r="C33" s="53">
        <v>46275</v>
      </c>
      <c r="D33" s="49" t="s">
        <v>436</v>
      </c>
      <c r="E33" s="54" t="s">
        <v>40</v>
      </c>
      <c r="F33" s="54">
        <v>0</v>
      </c>
      <c r="G33" s="54">
        <v>2915.6</v>
      </c>
      <c r="H33" s="54">
        <v>2922.2</v>
      </c>
      <c r="I33" s="54">
        <f t="shared" si="1"/>
        <v>6.5999999999999091</v>
      </c>
      <c r="J33" s="54" t="s">
        <v>53</v>
      </c>
    </row>
    <row r="34" spans="2:10" x14ac:dyDescent="0.35">
      <c r="B34" s="49">
        <v>34</v>
      </c>
      <c r="C34" s="53">
        <v>46276</v>
      </c>
      <c r="D34" s="54" t="s">
        <v>435</v>
      </c>
      <c r="E34" s="54" t="s">
        <v>41</v>
      </c>
      <c r="F34" s="54"/>
      <c r="G34" s="54">
        <v>17510.099999999999</v>
      </c>
      <c r="H34" s="54">
        <v>17513.400000000001</v>
      </c>
      <c r="I34" s="54">
        <f t="shared" si="1"/>
        <v>3.3000000000029104</v>
      </c>
      <c r="J34" s="54" t="s">
        <v>465</v>
      </c>
    </row>
    <row r="35" spans="2:10" x14ac:dyDescent="0.35">
      <c r="B35" s="49">
        <v>35</v>
      </c>
      <c r="C35" s="53">
        <v>46276</v>
      </c>
      <c r="D35" s="54" t="s">
        <v>50</v>
      </c>
      <c r="E35" s="54" t="s">
        <v>27</v>
      </c>
      <c r="F35" s="54"/>
      <c r="G35" s="54">
        <v>2490</v>
      </c>
      <c r="H35" s="54">
        <v>2493</v>
      </c>
      <c r="I35" s="54">
        <f t="shared" si="1"/>
        <v>3</v>
      </c>
      <c r="J35" s="54" t="s">
        <v>53</v>
      </c>
    </row>
    <row r="36" spans="2:10" x14ac:dyDescent="0.35">
      <c r="B36" s="49">
        <v>36</v>
      </c>
      <c r="C36" s="53">
        <v>46276</v>
      </c>
      <c r="D36" s="54" t="s">
        <v>437</v>
      </c>
      <c r="E36" s="54" t="s">
        <v>36</v>
      </c>
      <c r="F36" s="54"/>
      <c r="G36" s="54">
        <v>1145.7</v>
      </c>
      <c r="H36" s="54">
        <v>1156.7</v>
      </c>
      <c r="I36" s="54">
        <f t="shared" si="1"/>
        <v>11</v>
      </c>
      <c r="J36" s="54" t="s">
        <v>465</v>
      </c>
    </row>
    <row r="37" spans="2:10" x14ac:dyDescent="0.35">
      <c r="B37" s="49">
        <v>37</v>
      </c>
      <c r="C37" s="53">
        <v>46277</v>
      </c>
      <c r="D37" s="54" t="s">
        <v>437</v>
      </c>
      <c r="E37" s="54" t="s">
        <v>36</v>
      </c>
      <c r="F37" s="54"/>
      <c r="G37" s="54">
        <v>1156.7</v>
      </c>
      <c r="H37" s="54">
        <v>1164.7</v>
      </c>
      <c r="I37" s="54">
        <f t="shared" si="1"/>
        <v>8</v>
      </c>
      <c r="J37" s="54" t="s">
        <v>466</v>
      </c>
    </row>
    <row r="38" spans="2:10" x14ac:dyDescent="0.35">
      <c r="B38" s="49">
        <v>38</v>
      </c>
      <c r="C38" s="53">
        <v>46277</v>
      </c>
      <c r="D38" s="54" t="s">
        <v>435</v>
      </c>
      <c r="E38" s="54" t="s">
        <v>41</v>
      </c>
      <c r="F38" s="54"/>
      <c r="G38" s="54">
        <v>17513.400000000001</v>
      </c>
      <c r="H38" s="54">
        <v>17516</v>
      </c>
      <c r="I38" s="54">
        <f t="shared" si="1"/>
        <v>2.5999999999985448</v>
      </c>
      <c r="J38" s="54" t="s">
        <v>467</v>
      </c>
    </row>
    <row r="39" spans="2:10" x14ac:dyDescent="0.35">
      <c r="B39" s="49">
        <v>39</v>
      </c>
      <c r="C39" s="53">
        <v>46279</v>
      </c>
      <c r="D39" s="54" t="s">
        <v>435</v>
      </c>
      <c r="E39" s="54" t="s">
        <v>41</v>
      </c>
      <c r="F39" s="54"/>
      <c r="G39" s="54">
        <v>17516</v>
      </c>
      <c r="H39" s="54">
        <v>17518.8</v>
      </c>
      <c r="I39" s="54">
        <f t="shared" si="1"/>
        <v>2.7999999999992724</v>
      </c>
      <c r="J39" s="54" t="s">
        <v>468</v>
      </c>
    </row>
    <row r="40" spans="2:10" x14ac:dyDescent="0.35">
      <c r="B40" s="49">
        <v>40</v>
      </c>
      <c r="C40" s="53"/>
      <c r="D40" s="54"/>
      <c r="E40" s="54"/>
      <c r="F40" s="54"/>
      <c r="G40" s="54"/>
      <c r="H40" s="54"/>
      <c r="I40" s="54"/>
      <c r="J40" s="54"/>
    </row>
    <row r="41" spans="2:10" x14ac:dyDescent="0.35">
      <c r="B41" s="49">
        <v>41</v>
      </c>
      <c r="C41" s="53"/>
      <c r="D41" s="54"/>
      <c r="E41" s="54"/>
      <c r="F41" s="54"/>
      <c r="G41" s="54"/>
      <c r="H41" s="54"/>
      <c r="I41" s="54"/>
      <c r="J41" s="54"/>
    </row>
    <row r="42" spans="2:10" x14ac:dyDescent="0.35">
      <c r="B42" s="49">
        <v>42</v>
      </c>
      <c r="C42" s="53"/>
      <c r="D42" s="54"/>
      <c r="E42" s="54"/>
      <c r="F42" s="54"/>
      <c r="G42" s="54"/>
      <c r="H42" s="54"/>
      <c r="I42" s="54"/>
      <c r="J42" s="54"/>
    </row>
    <row r="43" spans="2:10" x14ac:dyDescent="0.35">
      <c r="B43" s="49"/>
      <c r="C43" s="53"/>
      <c r="D43" s="54"/>
      <c r="E43" s="54"/>
      <c r="F43" s="54"/>
      <c r="G43" s="54"/>
      <c r="H43" s="54"/>
      <c r="I43" s="54"/>
      <c r="J43" s="54"/>
    </row>
    <row r="44" spans="2:10" x14ac:dyDescent="0.35">
      <c r="B44" s="49"/>
      <c r="C44" s="53"/>
      <c r="D44" s="54"/>
      <c r="E44" s="54"/>
      <c r="F44" s="54"/>
      <c r="G44" s="54"/>
      <c r="H44" s="54"/>
      <c r="I44" s="54"/>
      <c r="J44" s="54"/>
    </row>
    <row r="45" spans="2:10" x14ac:dyDescent="0.35">
      <c r="B45" s="49"/>
      <c r="C45" s="53"/>
      <c r="D45" s="54"/>
      <c r="E45" s="54"/>
      <c r="F45" s="54"/>
      <c r="G45" s="54"/>
      <c r="H45" s="54"/>
      <c r="I45" s="54"/>
      <c r="J45" s="54"/>
    </row>
    <row r="46" spans="2:10" x14ac:dyDescent="0.35">
      <c r="B46" s="49">
        <v>40</v>
      </c>
      <c r="C46" s="54"/>
      <c r="D46" s="54"/>
      <c r="E46" s="54"/>
      <c r="F46" s="54"/>
      <c r="G46" s="54"/>
      <c r="H46" s="54"/>
      <c r="I46" s="54"/>
      <c r="J46" s="54"/>
    </row>
    <row r="47" spans="2:10" x14ac:dyDescent="0.35">
      <c r="B47" s="49">
        <v>41</v>
      </c>
      <c r="C47" s="54"/>
      <c r="D47" s="54"/>
      <c r="E47" s="54"/>
      <c r="F47" s="54"/>
      <c r="G47" s="54"/>
      <c r="H47" s="54"/>
      <c r="I47" s="54"/>
      <c r="J47" s="54"/>
    </row>
    <row r="48" spans="2:10" ht="26" customHeight="1" x14ac:dyDescent="0.35">
      <c r="B48" s="49">
        <v>42</v>
      </c>
      <c r="C48" s="54"/>
      <c r="D48" s="54"/>
      <c r="E48" s="54"/>
      <c r="F48" s="55">
        <f>SUM(F2:F47)</f>
        <v>1410</v>
      </c>
      <c r="G48" s="54"/>
      <c r="H48" s="54"/>
      <c r="I48" s="54"/>
      <c r="J48" s="54"/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  <pageSetUpPr fitToPage="1"/>
  </sheetPr>
  <dimension ref="A1:G11"/>
  <sheetViews>
    <sheetView showGridLines="0" zoomScaleNormal="100" workbookViewId="0">
      <selection activeCell="D15" sqref="D15"/>
    </sheetView>
  </sheetViews>
  <sheetFormatPr defaultColWidth="8.6328125" defaultRowHeight="14.5" x14ac:dyDescent="0.35"/>
  <cols>
    <col min="1" max="1" width="4" customWidth="1"/>
    <col min="2" max="2" width="30" customWidth="1"/>
    <col min="3" max="7" width="18" customWidth="1"/>
  </cols>
  <sheetData>
    <row r="1" spans="1:7" ht="21.75" customHeight="1" x14ac:dyDescent="0.4">
      <c r="A1" s="56" t="s">
        <v>18</v>
      </c>
      <c r="B1" s="56"/>
      <c r="C1" s="56"/>
      <c r="D1" s="56"/>
      <c r="E1" s="56"/>
      <c r="F1" s="56"/>
      <c r="G1" s="56"/>
    </row>
    <row r="3" spans="1:7" x14ac:dyDescent="0.35">
      <c r="B3" s="14"/>
    </row>
    <row r="6" spans="1:7" ht="19.5" customHeight="1" x14ac:dyDescent="0.35">
      <c r="B6" s="59" t="s">
        <v>387</v>
      </c>
      <c r="C6" s="59"/>
    </row>
    <row r="7" spans="1:7" x14ac:dyDescent="0.35">
      <c r="B7" s="15" t="s">
        <v>20</v>
      </c>
      <c r="C7" s="16">
        <f>BBM!H685</f>
        <v>87340</v>
      </c>
    </row>
    <row r="8" spans="1:7" x14ac:dyDescent="0.35">
      <c r="B8" s="15" t="s">
        <v>21</v>
      </c>
      <c r="C8" s="16">
        <f>BBM!G685</f>
        <v>86649</v>
      </c>
    </row>
    <row r="9" spans="1:7" x14ac:dyDescent="0.35">
      <c r="B9" s="15" t="s">
        <v>22</v>
      </c>
      <c r="C9" s="16">
        <f>MASTER!C7+BBM!H685-BBM!G685</f>
        <v>691</v>
      </c>
    </row>
    <row r="10" spans="1:7" x14ac:dyDescent="0.35">
      <c r="B10" s="15" t="s">
        <v>24</v>
      </c>
      <c r="C10" s="18">
        <f>BBM!K685</f>
        <v>1560043200</v>
      </c>
    </row>
    <row r="11" spans="1:7" x14ac:dyDescent="0.35">
      <c r="B11" s="15" t="s">
        <v>25</v>
      </c>
      <c r="C11" s="17" t="str">
        <f>IFERROR(BBM!G685/#REF!,"")</f>
        <v/>
      </c>
    </row>
  </sheetData>
  <mergeCells count="2">
    <mergeCell ref="A1:G1"/>
    <mergeCell ref="B6:C6"/>
  </mergeCells>
  <pageMargins left="1" right="1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BBM</vt:lpstr>
      <vt:lpstr>LAPORAN HM + BBM</vt:lpstr>
      <vt:lpstr>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febyramdhana@outlook.com</cp:lastModifiedBy>
  <cp:revision>0</cp:revision>
  <cp:lastPrinted>2026-08-10T10:12:59Z</cp:lastPrinted>
  <dcterms:created xsi:type="dcterms:W3CDTF">2026-08-08T06:19:16Z</dcterms:created>
  <dcterms:modified xsi:type="dcterms:W3CDTF">2026-09-21T01:28:42Z</dcterms:modified>
  <dc:language>en-US</dc:language>
</cp:coreProperties>
</file>